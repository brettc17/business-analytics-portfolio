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ult\Documents\GitHub\business-analytics-portfolio\projects\client-operations-dashboard\workbook\"/>
    </mc:Choice>
  </mc:AlternateContent>
  <xr:revisionPtr revIDLastSave="0" documentId="13_ncr:1_{122F6044-399A-4905-857D-7C4726F63F6B}" xr6:coauthVersionLast="47" xr6:coauthVersionMax="47" xr10:uidLastSave="{00000000-0000-0000-0000-000000000000}"/>
  <bookViews>
    <workbookView xWindow="15585" yWindow="0" windowWidth="13320" windowHeight="15585" firstSheet="1" activeTab="3" xr2:uid="{F2C047C7-8673-4667-AD95-E88CE84B20A4}"/>
  </bookViews>
  <sheets>
    <sheet name="Instructions" sheetId="1" r:id="rId1"/>
    <sheet name="Settings" sheetId="2" r:id="rId2"/>
    <sheet name="Programs" sheetId="3" r:id="rId3"/>
    <sheet name="Staff" sheetId="4" r:id="rId4"/>
    <sheet name="Clients" sheetId="5" r:id="rId5"/>
    <sheet name="Contacts" sheetId="6" r:id="rId6"/>
    <sheet name="Dashboard" sheetId="7" r:id="rId7"/>
    <sheet name="Priority Queue" sheetId="8" r:id="rId8"/>
    <sheet name="Inactive Queue" sheetId="9" r:id="rId9"/>
    <sheet name="Data Quality" sheetId="10" r:id="rId10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2" l="1"/>
</calcChain>
</file>

<file path=xl/sharedStrings.xml><?xml version="1.0" encoding="utf-8"?>
<sst xmlns="http://schemas.openxmlformats.org/spreadsheetml/2006/main" count="94" uniqueCount="56">
  <si>
    <t>Column1</t>
  </si>
  <si>
    <t>Setting</t>
  </si>
  <si>
    <t>Value</t>
  </si>
  <si>
    <t>Description</t>
  </si>
  <si>
    <t>Current Date</t>
  </si>
  <si>
    <t>Used for reporting calculations</t>
  </si>
  <si>
    <t>Follow-Up Threshold (Days)</t>
  </si>
  <si>
    <t>Days before follow-up is required</t>
  </si>
  <si>
    <t>Inactive Threshold (Days)</t>
  </si>
  <si>
    <t>Days before a client becomes inactive</t>
  </si>
  <si>
    <t>Approaching Inactive (%)</t>
  </si>
  <si>
    <t>Percentage of inactivity threshold</t>
  </si>
  <si>
    <t>High Risk Score</t>
  </si>
  <si>
    <t>Risk score considered high priority</t>
  </si>
  <si>
    <t>Medium Risk Score</t>
  </si>
  <si>
    <t>Risk score considered medium priority</t>
  </si>
  <si>
    <t>ProgramID</t>
  </si>
  <si>
    <t>Program Name</t>
  </si>
  <si>
    <t>Contact Target</t>
  </si>
  <si>
    <t>Inactive Threshold</t>
  </si>
  <si>
    <t>Status</t>
  </si>
  <si>
    <t>Community Support</t>
  </si>
  <si>
    <t>Active</t>
  </si>
  <si>
    <t>Housing Navigation</t>
  </si>
  <si>
    <t>Employment Services</t>
  </si>
  <si>
    <t>Behavioral Health Coordination</t>
  </si>
  <si>
    <t>Family Stabilization</t>
  </si>
  <si>
    <t>Transition Services</t>
  </si>
  <si>
    <t>StaffID</t>
  </si>
  <si>
    <t>Staff Name</t>
  </si>
  <si>
    <t>Job Title</t>
  </si>
  <si>
    <t>Capacity Target</t>
  </si>
  <si>
    <t>Employment Status</t>
  </si>
  <si>
    <t>Maya Thompson</t>
  </si>
  <si>
    <t>Program Manager</t>
  </si>
  <si>
    <t>Ethan Brooks</t>
  </si>
  <si>
    <t>Senior Case Manager</t>
  </si>
  <si>
    <t>Sofia Ramirez</t>
  </si>
  <si>
    <t>Case Manager</t>
  </si>
  <si>
    <t>Daniel Kim</t>
  </si>
  <si>
    <t>Aisha Patel</t>
  </si>
  <si>
    <t>Marcus Reed</t>
  </si>
  <si>
    <t>Lauren Bennett</t>
  </si>
  <si>
    <t>Program Coordinator</t>
  </si>
  <si>
    <t>Noah Williams</t>
  </si>
  <si>
    <t>Chloe Nguyen</t>
  </si>
  <si>
    <t>Olivia Carter</t>
  </si>
  <si>
    <t>Gabriel Martinez</t>
  </si>
  <si>
    <t>Hannah Lee</t>
  </si>
  <si>
    <t>Jordan Price</t>
  </si>
  <si>
    <t>Priya Shah</t>
  </si>
  <si>
    <t>Caleb Foster</t>
  </si>
  <si>
    <t>Natalie Cooper</t>
  </si>
  <si>
    <t>Isaac Robinson</t>
  </si>
  <si>
    <t>Operations Specialist</t>
  </si>
  <si>
    <t>Elena Garcia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</si>
</sst>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14" fontId="2" fillId="0" borderId="0" xfId="0" applyNumberFormat="1" applyFont="1" applyAlignment="1">
      <alignment horizontal="right" vertical="center" wrapText="1"/>
    </xf>
    <xf numFmtId="9" fontId="0" fillId="0" borderId="0" xfId="0" applyNumberFormat="1" applyAlignment="1">
      <alignment horizontal="right" vertical="center" wrapText="1"/>
    </xf>
  </cellXfs>
  <cellStyles count="1">
    <cellStyle name="Normal" xfId="0" builtinId="0"/>
  </cellStyles>
  <dxfs count="7"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7898A34-6FFC-4F64-99CF-EB155845161D}" name="Table5" displayName="Table5" ref="A1:C7" totalsRowShown="0">
  <autoFilter ref="A1:C7" xr:uid="{27898A34-6FFC-4F64-99CF-EB155845161D}"/>
  <tableColumns count="3">
    <tableColumn id="1" xr3:uid="{D98133DC-1955-4EDE-98F7-4857D6691B5D}" name="Setting" dataDxfId="6"/>
    <tableColumn id="2" xr3:uid="{C472C2CA-7511-4D46-91F2-DFD764571DA5}" name="Value" dataDxfId="5"/>
    <tableColumn id="3" xr3:uid="{62A9F551-0E36-4944-A774-500497612FD6}" name="Description" dataDxf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8BD5C2-AB85-4CE2-BC2C-5B08DA5D11C0}" name="tblPrograms" displayName="tblPrograms" ref="A1:E7" totalsRowShown="0">
  <autoFilter ref="A1:E7" xr:uid="{4F8BD5C2-AB85-4CE2-BC2C-5B08DA5D11C0}"/>
  <tableColumns count="5">
    <tableColumn id="1" xr3:uid="{7DE5680C-90CC-44C7-903B-55CB9D4FCEA0}" name="ProgramID"/>
    <tableColumn id="2" xr3:uid="{72045E85-0AE2-4686-8502-5F74B34F1759}" name="Program Name" dataDxfId="3"/>
    <tableColumn id="3" xr3:uid="{38365544-2B5E-4221-9DC9-DA5E1B69F58F}" name="Contact Target" dataDxfId="2"/>
    <tableColumn id="4" xr3:uid="{C320F564-0562-4FC1-80D0-2380FEB66E36}" name="Inactive Threshold" dataDxfId="1"/>
    <tableColumn id="5" xr3:uid="{AB3D5FAC-64F6-46C0-840D-53253114BE3D}" name="Status" dataDxfId="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768C34B-1820-43CD-BA4F-7970581DC8C6}" name="tblStaff" displayName="tblStaff" ref="A1:F19" totalsRowShown="0">
  <autoFilter ref="A1:F19" xr:uid="{B768C34B-1820-43CD-BA4F-7970581DC8C6}"/>
  <tableColumns count="6">
    <tableColumn id="1" xr3:uid="{B09DE56D-2CC2-48F2-AA3B-2938B9D96E5D}" name="StaffID"/>
    <tableColumn id="2" xr3:uid="{5BA0C41E-8848-458F-8981-19694FFB6EED}" name="Staff Name"/>
    <tableColumn id="3" xr3:uid="{13275186-3F41-4ABE-8B64-29A83AFC5474}" name="Job Title"/>
    <tableColumn id="4" xr3:uid="{86B1AD3B-A650-46D3-ABA2-63B68B690F04}" name="ProgramID"/>
    <tableColumn id="5" xr3:uid="{B4E37575-85D8-4BE9-BD84-6A73152F993D}" name="Capacity Target"/>
    <tableColumn id="6" xr3:uid="{0BD2EF7C-00D2-4EFA-A315-F0DD46095A40}" name="Employment 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9CEF2BD-318C-46B5-9B08-B3B2F93BE9A1}" name="tblClients" displayName="tblClients" ref="A1:A2" insertRow="1" totalsRowShown="0">
  <autoFilter ref="A1:A2" xr:uid="{F9CEF2BD-318C-46B5-9B08-B3B2F93BE9A1}"/>
  <tableColumns count="1">
    <tableColumn id="1" xr3:uid="{EF492043-2238-461A-8ED6-89DA5B8BD478}" name="Column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80A1918-63C6-421A-B1EC-1FB538612A9E}" name="tblContacts" displayName="tblContacts" ref="A1:A2" insertRow="1" totalsRowShown="0">
  <autoFilter ref="A1:A2" xr:uid="{D80A1918-63C6-421A-B1EC-1FB538612A9E}"/>
  <tableColumns count="1">
    <tableColumn id="1" xr3:uid="{CE1A9BA0-7065-4C90-BFF4-46A801EB0DB5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D00CD-500B-448B-83A9-F5D1FC827A71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13E8C-C29F-44D1-8D78-A05F4D7EC732}">
  <dimension ref="A1:C7"/>
  <sheetViews>
    <sheetView workbookViewId="0">
      <selection activeCell="E3" sqref="E3"/>
    </sheetView>
  </sheetViews>
  <sheetFormatPr defaultRowHeight="15"/>
  <cols>
    <col min="1" max="1" width="11.85546875" bestFit="1" customWidth="1"/>
    <col min="3" max="3" width="15.7109375" bestFit="1" customWidth="1"/>
  </cols>
  <sheetData>
    <row r="1" spans="1:3" ht="30">
      <c r="A1" s="1" t="s">
        <v>1</v>
      </c>
      <c r="B1" s="3" t="s">
        <v>2</v>
      </c>
      <c r="C1" s="1" t="s">
        <v>3</v>
      </c>
    </row>
    <row r="2" spans="1:3" ht="75">
      <c r="A2" s="4" t="s">
        <v>4</v>
      </c>
      <c r="B2" s="5">
        <f ca="1">TODAY()</f>
        <v>46214</v>
      </c>
      <c r="C2" s="4" t="s">
        <v>5</v>
      </c>
    </row>
    <row r="3" spans="1:3" ht="75">
      <c r="A3" s="4" t="s">
        <v>6</v>
      </c>
      <c r="B3" s="2">
        <v>30</v>
      </c>
      <c r="C3" s="4" t="s">
        <v>7</v>
      </c>
    </row>
    <row r="4" spans="1:3" ht="75">
      <c r="A4" s="4" t="s">
        <v>8</v>
      </c>
      <c r="B4" s="2">
        <v>90</v>
      </c>
      <c r="C4" s="4" t="s">
        <v>9</v>
      </c>
    </row>
    <row r="5" spans="1:3" ht="75">
      <c r="A5" s="4" t="s">
        <v>10</v>
      </c>
      <c r="B5" s="6">
        <v>0.75</v>
      </c>
      <c r="C5" s="4" t="s">
        <v>11</v>
      </c>
    </row>
    <row r="6" spans="1:3" ht="75">
      <c r="A6" s="4" t="s">
        <v>12</v>
      </c>
      <c r="B6" s="2">
        <v>80</v>
      </c>
      <c r="C6" s="4" t="s">
        <v>13</v>
      </c>
    </row>
    <row r="7" spans="1:3" ht="90">
      <c r="A7" s="4" t="s">
        <v>14</v>
      </c>
      <c r="B7" s="2">
        <v>50</v>
      </c>
      <c r="C7" s="4" t="s">
        <v>15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DE00C-A30C-4D5B-8184-DDA72F472B2F}">
  <dimension ref="A1:E7"/>
  <sheetViews>
    <sheetView workbookViewId="0">
      <selection activeCell="C11" sqref="C11"/>
    </sheetView>
  </sheetViews>
  <sheetFormatPr defaultRowHeight="15"/>
  <cols>
    <col min="1" max="1" width="11" customWidth="1"/>
  </cols>
  <sheetData>
    <row r="1" spans="1:5" ht="45">
      <c r="A1" s="3" t="s">
        <v>16</v>
      </c>
      <c r="B1" s="1" t="s">
        <v>17</v>
      </c>
      <c r="C1" s="3" t="s">
        <v>18</v>
      </c>
      <c r="D1" s="3" t="s">
        <v>19</v>
      </c>
      <c r="E1" s="1" t="s">
        <v>20</v>
      </c>
    </row>
    <row r="2" spans="1:5" ht="45">
      <c r="A2" s="2">
        <v>1001</v>
      </c>
      <c r="B2" s="4" t="s">
        <v>21</v>
      </c>
      <c r="C2" s="2">
        <v>30</v>
      </c>
      <c r="D2" s="2">
        <v>90</v>
      </c>
      <c r="E2" s="4" t="s">
        <v>22</v>
      </c>
    </row>
    <row r="3" spans="1:5" ht="45">
      <c r="A3" s="2">
        <v>1002</v>
      </c>
      <c r="B3" s="4" t="s">
        <v>23</v>
      </c>
      <c r="C3" s="2">
        <v>14</v>
      </c>
      <c r="D3" s="2">
        <v>60</v>
      </c>
      <c r="E3" s="4" t="s">
        <v>22</v>
      </c>
    </row>
    <row r="4" spans="1:5" ht="45">
      <c r="A4" s="2">
        <v>1003</v>
      </c>
      <c r="B4" s="4" t="s">
        <v>24</v>
      </c>
      <c r="C4" s="2">
        <v>30</v>
      </c>
      <c r="D4" s="2">
        <v>90</v>
      </c>
      <c r="E4" s="4" t="s">
        <v>22</v>
      </c>
    </row>
    <row r="5" spans="1:5" ht="60">
      <c r="A5" s="2">
        <v>1004</v>
      </c>
      <c r="B5" s="4" t="s">
        <v>25</v>
      </c>
      <c r="C5" s="2">
        <v>14</v>
      </c>
      <c r="D5" s="2">
        <v>45</v>
      </c>
      <c r="E5" s="4" t="s">
        <v>22</v>
      </c>
    </row>
    <row r="6" spans="1:5" ht="45">
      <c r="A6" s="2">
        <v>1005</v>
      </c>
      <c r="B6" s="4" t="s">
        <v>26</v>
      </c>
      <c r="C6" s="2">
        <v>21</v>
      </c>
      <c r="D6" s="2">
        <v>75</v>
      </c>
      <c r="E6" s="4" t="s">
        <v>22</v>
      </c>
    </row>
    <row r="7" spans="1:5" ht="45">
      <c r="A7" s="2">
        <v>1006</v>
      </c>
      <c r="B7" s="4" t="s">
        <v>27</v>
      </c>
      <c r="C7" s="2">
        <v>30</v>
      </c>
      <c r="D7" s="2">
        <v>90</v>
      </c>
      <c r="E7" s="4" t="s">
        <v>22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58C37-E80B-4718-92CE-7A681E74B8BC}">
  <dimension ref="A1:F19"/>
  <sheetViews>
    <sheetView tabSelected="1" topLeftCell="A7" workbookViewId="0">
      <selection activeCell="F17" sqref="F17"/>
    </sheetView>
  </sheetViews>
  <sheetFormatPr defaultRowHeight="15"/>
  <cols>
    <col min="1" max="1" width="9.28515625" bestFit="1" customWidth="1"/>
    <col min="2" max="2" width="13.140625" bestFit="1" customWidth="1"/>
    <col min="3" max="3" width="10.7109375" bestFit="1" customWidth="1"/>
    <col min="4" max="4" width="12.5703125" bestFit="1" customWidth="1"/>
    <col min="5" max="5" width="16.85546875" bestFit="1" customWidth="1"/>
    <col min="6" max="6" width="20.7109375" bestFit="1" customWidth="1"/>
  </cols>
  <sheetData>
    <row r="1" spans="1:6">
      <c r="A1" s="3" t="s">
        <v>28</v>
      </c>
      <c r="B1" s="1" t="s">
        <v>29</v>
      </c>
      <c r="C1" s="1" t="s">
        <v>30</v>
      </c>
      <c r="D1" s="3" t="s">
        <v>16</v>
      </c>
      <c r="E1" s="3" t="s">
        <v>31</v>
      </c>
      <c r="F1" s="1" t="s">
        <v>32</v>
      </c>
    </row>
    <row r="2" spans="1:6" ht="30">
      <c r="A2" s="2">
        <v>2001</v>
      </c>
      <c r="B2" s="4" t="s">
        <v>33</v>
      </c>
      <c r="C2" s="4" t="s">
        <v>34</v>
      </c>
      <c r="D2" s="2">
        <v>1001</v>
      </c>
      <c r="E2" s="2">
        <v>0</v>
      </c>
      <c r="F2" s="4" t="s">
        <v>22</v>
      </c>
    </row>
    <row r="3" spans="1:6" ht="45">
      <c r="A3" s="2">
        <v>2002</v>
      </c>
      <c r="B3" s="4" t="s">
        <v>35</v>
      </c>
      <c r="C3" s="4" t="s">
        <v>36</v>
      </c>
      <c r="D3" s="2">
        <v>1001</v>
      </c>
      <c r="E3" s="2">
        <v>22</v>
      </c>
      <c r="F3" s="4" t="s">
        <v>22</v>
      </c>
    </row>
    <row r="4" spans="1:6" ht="30">
      <c r="A4" s="2">
        <v>2003</v>
      </c>
      <c r="B4" s="4" t="s">
        <v>37</v>
      </c>
      <c r="C4" s="4" t="s">
        <v>38</v>
      </c>
      <c r="D4" s="2">
        <v>1001</v>
      </c>
      <c r="E4" s="2">
        <v>28</v>
      </c>
      <c r="F4" s="4" t="s">
        <v>22</v>
      </c>
    </row>
    <row r="5" spans="1:6" ht="30">
      <c r="A5" s="2">
        <v>2004</v>
      </c>
      <c r="B5" s="4" t="s">
        <v>39</v>
      </c>
      <c r="C5" s="4" t="s">
        <v>34</v>
      </c>
      <c r="D5" s="2">
        <v>1002</v>
      </c>
      <c r="E5" s="2">
        <v>0</v>
      </c>
      <c r="F5" s="4" t="s">
        <v>22</v>
      </c>
    </row>
    <row r="6" spans="1:6" ht="45">
      <c r="A6" s="2">
        <v>2005</v>
      </c>
      <c r="B6" s="4" t="s">
        <v>40</v>
      </c>
      <c r="C6" s="4" t="s">
        <v>36</v>
      </c>
      <c r="D6" s="2">
        <v>1002</v>
      </c>
      <c r="E6" s="2">
        <v>20</v>
      </c>
      <c r="F6" s="4" t="s">
        <v>22</v>
      </c>
    </row>
    <row r="7" spans="1:6" ht="30">
      <c r="A7" s="2">
        <v>2006</v>
      </c>
      <c r="B7" s="4" t="s">
        <v>41</v>
      </c>
      <c r="C7" s="4" t="s">
        <v>38</v>
      </c>
      <c r="D7" s="2">
        <v>1002</v>
      </c>
      <c r="E7" s="2">
        <v>25</v>
      </c>
      <c r="F7" s="4" t="s">
        <v>22</v>
      </c>
    </row>
    <row r="8" spans="1:6" ht="45">
      <c r="A8" s="2">
        <v>2007</v>
      </c>
      <c r="B8" s="4" t="s">
        <v>42</v>
      </c>
      <c r="C8" s="4" t="s">
        <v>43</v>
      </c>
      <c r="D8" s="2">
        <v>1003</v>
      </c>
      <c r="E8" s="2">
        <v>15</v>
      </c>
      <c r="F8" s="4" t="s">
        <v>22</v>
      </c>
    </row>
    <row r="9" spans="1:6" ht="30">
      <c r="A9" s="2">
        <v>2008</v>
      </c>
      <c r="B9" s="4" t="s">
        <v>44</v>
      </c>
      <c r="C9" s="4" t="s">
        <v>38</v>
      </c>
      <c r="D9" s="2">
        <v>1003</v>
      </c>
      <c r="E9" s="2">
        <v>30</v>
      </c>
      <c r="F9" s="4" t="s">
        <v>22</v>
      </c>
    </row>
    <row r="10" spans="1:6" ht="30">
      <c r="A10" s="2">
        <v>2009</v>
      </c>
      <c r="B10" s="4" t="s">
        <v>45</v>
      </c>
      <c r="C10" s="4" t="s">
        <v>38</v>
      </c>
      <c r="D10" s="2">
        <v>1003</v>
      </c>
      <c r="E10" s="2">
        <v>30</v>
      </c>
      <c r="F10" s="4" t="s">
        <v>22</v>
      </c>
    </row>
    <row r="11" spans="1:6" ht="30">
      <c r="A11" s="2">
        <v>2010</v>
      </c>
      <c r="B11" s="4" t="s">
        <v>46</v>
      </c>
      <c r="C11" s="4" t="s">
        <v>34</v>
      </c>
      <c r="D11" s="2">
        <v>1004</v>
      </c>
      <c r="E11" s="2">
        <v>0</v>
      </c>
      <c r="F11" s="4" t="s">
        <v>22</v>
      </c>
    </row>
    <row r="12" spans="1:6" ht="45">
      <c r="A12" s="2">
        <v>2011</v>
      </c>
      <c r="B12" s="4" t="s">
        <v>47</v>
      </c>
      <c r="C12" s="4" t="s">
        <v>36</v>
      </c>
      <c r="D12" s="2">
        <v>1004</v>
      </c>
      <c r="E12" s="2">
        <v>18</v>
      </c>
      <c r="F12" s="4" t="s">
        <v>22</v>
      </c>
    </row>
    <row r="13" spans="1:6" ht="30">
      <c r="A13" s="2">
        <v>2012</v>
      </c>
      <c r="B13" s="4" t="s">
        <v>48</v>
      </c>
      <c r="C13" s="4" t="s">
        <v>38</v>
      </c>
      <c r="D13" s="2">
        <v>1004</v>
      </c>
      <c r="E13" s="2">
        <v>22</v>
      </c>
      <c r="F13" s="4" t="s">
        <v>22</v>
      </c>
    </row>
    <row r="14" spans="1:6" ht="45">
      <c r="A14" s="2">
        <v>2013</v>
      </c>
      <c r="B14" s="4" t="s">
        <v>49</v>
      </c>
      <c r="C14" s="4" t="s">
        <v>43</v>
      </c>
      <c r="D14" s="2">
        <v>1005</v>
      </c>
      <c r="E14" s="2">
        <v>15</v>
      </c>
      <c r="F14" s="4" t="s">
        <v>22</v>
      </c>
    </row>
    <row r="15" spans="1:6" ht="30">
      <c r="A15" s="2">
        <v>2014</v>
      </c>
      <c r="B15" s="4" t="s">
        <v>50</v>
      </c>
      <c r="C15" s="4" t="s">
        <v>38</v>
      </c>
      <c r="D15" s="2">
        <v>1005</v>
      </c>
      <c r="E15" s="2">
        <v>26</v>
      </c>
      <c r="F15" s="4" t="s">
        <v>22</v>
      </c>
    </row>
    <row r="16" spans="1:6" ht="30">
      <c r="A16" s="2">
        <v>2015</v>
      </c>
      <c r="B16" s="4" t="s">
        <v>51</v>
      </c>
      <c r="C16" s="4" t="s">
        <v>38</v>
      </c>
      <c r="D16" s="2">
        <v>1005</v>
      </c>
      <c r="E16" s="2">
        <v>26</v>
      </c>
      <c r="F16" s="4" t="s">
        <v>22</v>
      </c>
    </row>
    <row r="17" spans="1:6" ht="30">
      <c r="A17" s="2">
        <v>2016</v>
      </c>
      <c r="B17" s="4" t="s">
        <v>52</v>
      </c>
      <c r="C17" s="4" t="s">
        <v>34</v>
      </c>
      <c r="D17" s="2">
        <v>1006</v>
      </c>
      <c r="E17" s="2">
        <v>0</v>
      </c>
      <c r="F17" s="4" t="s">
        <v>22</v>
      </c>
    </row>
    <row r="18" spans="1:6" ht="30">
      <c r="A18" s="2">
        <v>2017</v>
      </c>
      <c r="B18" s="4" t="s">
        <v>53</v>
      </c>
      <c r="C18" s="4" t="s">
        <v>54</v>
      </c>
      <c r="D18" s="2">
        <v>1006</v>
      </c>
      <c r="E18" s="2">
        <v>18</v>
      </c>
      <c r="F18" s="4" t="s">
        <v>22</v>
      </c>
    </row>
    <row r="19" spans="1:6" ht="30">
      <c r="A19" s="2">
        <v>2018</v>
      </c>
      <c r="B19" s="4" t="s">
        <v>55</v>
      </c>
      <c r="C19" s="4" t="s">
        <v>38</v>
      </c>
      <c r="D19" s="2">
        <v>1006</v>
      </c>
      <c r="E19" s="2">
        <v>28</v>
      </c>
      <c r="F19" s="4" t="s">
        <v>22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75832-F696-44A4-86BE-A8CC9665F5DC}">
  <dimension ref="A1"/>
  <sheetViews>
    <sheetView workbookViewId="0">
      <selection sqref="A1:A2"/>
    </sheetView>
  </sheetViews>
  <sheetFormatPr defaultRowHeight="15"/>
  <cols>
    <col min="1" max="1" width="11" customWidth="1"/>
  </cols>
  <sheetData>
    <row r="1" spans="1:1">
      <c r="A1" t="s">
        <v>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6E6F4-5C5C-406F-A255-82BB6014FBE6}">
  <dimension ref="A1"/>
  <sheetViews>
    <sheetView workbookViewId="0">
      <selection sqref="A1:A2"/>
    </sheetView>
  </sheetViews>
  <sheetFormatPr defaultRowHeight="15"/>
  <cols>
    <col min="1" max="1" width="11" customWidth="1"/>
  </cols>
  <sheetData>
    <row r="1" spans="1:1">
      <c r="A1" t="s">
        <v>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DC955-F9EA-486D-9C68-D2515F3AEE99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C85C7-2128-49E9-A013-08D7C5873739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15BA7-81A1-4CC4-BFAC-1188AF6F40E2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E8999-84E4-41EA-B19B-CC7B77DCCC7E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Instructions</vt:lpstr>
      <vt:lpstr>Settings</vt:lpstr>
      <vt:lpstr>Programs</vt:lpstr>
      <vt:lpstr>Staff</vt:lpstr>
      <vt:lpstr>Clients</vt:lpstr>
      <vt:lpstr>Contacts</vt:lpstr>
      <vt:lpstr>Dashboard</vt:lpstr>
      <vt:lpstr>Priority Queue</vt:lpstr>
      <vt:lpstr>Inactive Queue</vt:lpstr>
      <vt:lpstr>Data Quality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Brett Coulter</dc:creator>
  <cp:lastModifiedBy>Brett Coulter</cp:lastModifiedBy>
  <dcterms:created xsi:type="dcterms:W3CDTF">2026-07-11T05:34:48Z</dcterms:created>
  <dcterms:modified xsi:type="dcterms:W3CDTF">2026-07-11T05:45:32Z</dcterms:modified>
</cp:coreProperties>
</file>