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7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oult\Documents\GitHub\business-analytics-portfolio\projects\client-operations-dashboard\workbook\"/>
    </mc:Choice>
  </mc:AlternateContent>
  <xr:revisionPtr revIDLastSave="0" documentId="13_ncr:1_{02912A47-0C4E-457E-98D0-8561273E17E2}" xr6:coauthVersionLast="47" xr6:coauthVersionMax="47" xr10:uidLastSave="{00000000-0000-0000-0000-000000000000}"/>
  <bookViews>
    <workbookView xWindow="-120" yWindow="-120" windowWidth="29040" windowHeight="15720" firstSheet="4" activeTab="8" xr2:uid="{F2C047C7-8673-4667-AD95-E88CE84B20A4}"/>
  </bookViews>
  <sheets>
    <sheet name="Instructions" sheetId="1" r:id="rId1"/>
    <sheet name="Settings" sheetId="2" r:id="rId2"/>
    <sheet name="Programs" sheetId="17" r:id="rId3"/>
    <sheet name="Staff" sheetId="4" r:id="rId4"/>
    <sheet name="Clients" sheetId="11" r:id="rId5"/>
    <sheet name="Contacts" sheetId="13" r:id="rId6"/>
    <sheet name="Client Summary" sheetId="16" r:id="rId7"/>
    <sheet name="Metrics" sheetId="18" r:id="rId8"/>
    <sheet name="Dashboard" sheetId="7" r:id="rId9"/>
    <sheet name="Priority Queue" sheetId="8" r:id="rId10"/>
    <sheet name="Inactive Queue" sheetId="9" r:id="rId11"/>
    <sheet name="Data Quality" sheetId="10" r:id="rId12"/>
  </sheets>
  <definedNames>
    <definedName name="ExternalData_1" localSheetId="4" hidden="1">Clients!$A$1:$K$251</definedName>
    <definedName name="ExternalData_1" localSheetId="5" hidden="1">Contacts!$A$1:$I$2924</definedName>
    <definedName name="ExternalData_1" localSheetId="2" hidden="1">Programs!$A$1:$E$7</definedName>
    <definedName name="ExternalData_4" localSheetId="6" hidden="1">'Client Summary'!$A$1:$U$251</definedName>
    <definedName name="ExternalData_5" localSheetId="9" hidden="1">'Priority Queue'!$A$1:$J$104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18" l="1" a="1"/>
  <c r="V2" i="18" a="1"/>
  <c r="U2" i="18" a="1"/>
  <c r="T2" i="18" a="1"/>
  <c r="S2" i="18" a="1"/>
  <c r="Q2" i="18" a="1"/>
  <c r="P2" i="18" a="1"/>
  <c r="M5" i="18"/>
  <c r="M4" i="18"/>
  <c r="M3" i="18"/>
  <c r="M2" i="18"/>
  <c r="J2" i="18" a="1"/>
  <c r="I2" i="18" a="1"/>
  <c r="H2" i="18" a="1"/>
  <c r="G2" i="18" a="1"/>
  <c r="F2" i="18" a="1"/>
  <c r="N4" i="7"/>
  <c r="L12" i="7"/>
  <c r="G12" i="7"/>
  <c r="B12" i="7"/>
  <c r="L7" i="7"/>
  <c r="G7" i="7"/>
  <c r="B7" i="7"/>
  <c r="B15" i="18"/>
  <c r="B14" i="18"/>
  <c r="B13" i="18"/>
  <c r="B12" i="18"/>
  <c r="B11" i="18"/>
  <c r="B10" i="18" a="1"/>
  <c r="B9" i="18"/>
  <c r="B8" i="18"/>
  <c r="B7" i="18"/>
  <c r="B6" i="18"/>
  <c r="B5" i="18"/>
  <c r="B4" i="18"/>
  <c r="B3" i="18"/>
  <c r="B2" i="18"/>
  <c r="B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1EE95A4-1C5C-4015-A7B5-C6B58AA982C9}" keepAlive="1" name="Query - Clients" description="Connection to the 'Clients' query in the workbook." type="5" refreshedVersion="8" background="1" saveData="1">
    <dbPr connection="Provider=Microsoft.Mashup.OleDb.1;Data Source=$Workbook$;Location=Clients;Extended Properties=&quot;&quot;" command="SELECT * FROM [Clients]"/>
  </connection>
  <connection id="2" xr16:uid="{5C5AC05D-113A-4645-A341-A176B4CAB1F2}" keepAlive="1" name="Query - Contacts" description="Connection to the 'Contacts' query in the workbook." type="5" refreshedVersion="8" background="1" saveData="1">
    <dbPr connection="Provider=Microsoft.Mashup.OleDb.1;Data Source=$Workbook$;Location=Contacts;Extended Properties=&quot;&quot;" command="SELECT * FROM [Contacts]"/>
  </connection>
  <connection id="3" xr16:uid="{74148F45-598B-422B-BAED-3633997837F7}" keepAlive="1" name="Query - Programs" description="Connection to the 'Programs' query in the workbook." type="5" refreshedVersion="8" background="1" saveData="1">
    <dbPr connection="Provider=Microsoft.Mashup.OleDb.1;Data Source=$Workbook$;Location=Programs;Extended Properties=&quot;&quot;" command="SELECT * FROM [Programs]"/>
  </connection>
  <connection id="4" xr16:uid="{2A11AEC0-2B66-489B-8C4B-CBE51560964E}" keepAlive="1" name="Query - qryClientSummary" description="Connection to the 'qryClientSummary' query in the workbook." type="5" refreshedVersion="8" background="1" saveData="1">
    <dbPr connection="Provider=Microsoft.Mashup.OleDb.1;Data Source=$Workbook$;Location=qryClientSummary;Extended Properties=&quot;&quot;" command="SELECT * FROM [qryClientSummary]"/>
  </connection>
  <connection id="5" xr16:uid="{28B556B0-3F09-4D07-8450-5FC457559CAE}" keepAlive="1" name="Query - qryContactCounts" description="Connection to the 'qryContactCounts' query in the workbook." type="5" refreshedVersion="0" background="1">
    <dbPr connection="Provider=Microsoft.Mashup.OleDb.1;Data Source=$Workbook$;Location=qryContactCounts;Extended Properties=&quot;&quot;" command="SELECT * FROM [qryContactCounts]"/>
  </connection>
  <connection id="6" xr16:uid="{6D991FCA-626F-4AB3-B50A-734F87356F87}" keepAlive="1" name="Query - qryContactSummary" description="Connection to the 'qryContactSummary' query in the workbook." type="5" refreshedVersion="8" background="1" saveData="1">
    <dbPr connection="Provider=Microsoft.Mashup.OleDb.1;Data Source=$Workbook$;Location=qryContactSummary;Extended Properties=&quot;&quot;" command="SELECT * FROM [qryContactSummary]"/>
  </connection>
  <connection id="7" xr16:uid="{C026B777-99E2-4064-8E85-BB09470655F8}" keepAlive="1" name="Query - qryPriorityQueue" description="Connection to the 'qryPriorityQueue' query in the workbook." type="5" refreshedVersion="0" background="1">
    <dbPr connection="Provider=Microsoft.Mashup.OleDb.1;Data Source=$Workbook$;Location=qryPriorityQueue;Extended Properties=&quot;&quot;" command="SELECT * FROM [qryPriorityQueue]"/>
  </connection>
  <connection id="8" xr16:uid="{A198AE54-BA62-4BA4-B43F-C8963718843E}" keepAlive="1" name="Query - qryPriorityQueue1" description="Connection to the 'qryPriorityQueue' query in the workbook." type="5" refreshedVersion="8" background="1" saveData="1">
    <dbPr connection="Provider=Microsoft.Mashup.OleDb.1;Data Source=$Workbook$;Location=qryPriorityQueue;Extended Properties=&quot;&quot;" command="SELECT * FROM [qryPriorityQueue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<sst xmlns="http://schemas.openxmlformats.org/spreadsheetml/2006/main" count="13096" uniqueCount="279">
  <si>
    <t>Setting</t>
  </si>
  <si>
    <t>Value</t>
  </si>
  <si>
    <t>Description</t>
  </si>
  <si>
    <t>Current Date</t>
  </si>
  <si>
    <t>Used for reporting calculations</t>
  </si>
  <si>
    <t>Follow-Up Threshold (Days)</t>
  </si>
  <si>
    <t>Days before follow-up is required</t>
  </si>
  <si>
    <t>Inactive Threshold (Days)</t>
  </si>
  <si>
    <t>Days before a client becomes inactive</t>
  </si>
  <si>
    <t>Approaching Inactive (%)</t>
  </si>
  <si>
    <t>Percentage of inactivity threshold</t>
  </si>
  <si>
    <t>High Risk Score</t>
  </si>
  <si>
    <t>Risk score considered high priority</t>
  </si>
  <si>
    <t>Medium Risk Score</t>
  </si>
  <si>
    <t>Risk score considered medium priority</t>
  </si>
  <si>
    <t>ProgramID</t>
  </si>
  <si>
    <t>Program Name</t>
  </si>
  <si>
    <t>Contact Target</t>
  </si>
  <si>
    <t>Inactive Threshold</t>
  </si>
  <si>
    <t>Status</t>
  </si>
  <si>
    <t>Community Support</t>
  </si>
  <si>
    <t>Active</t>
  </si>
  <si>
    <t>Housing Navigation</t>
  </si>
  <si>
    <t>Employment Services</t>
  </si>
  <si>
    <t>Behavioral Health Coordination</t>
  </si>
  <si>
    <t>Family Stabilization</t>
  </si>
  <si>
    <t>Transition Services</t>
  </si>
  <si>
    <t>StaffID</t>
  </si>
  <si>
    <t>Staff Name</t>
  </si>
  <si>
    <t>Job Title</t>
  </si>
  <si>
    <t>Capacity Target</t>
  </si>
  <si>
    <t>Employment Status</t>
  </si>
  <si>
    <t>Maya Thompson</t>
  </si>
  <si>
    <t>Program Manager</t>
  </si>
  <si>
    <t>Ethan Brooks</t>
  </si>
  <si>
    <t>Senior Case Manager</t>
  </si>
  <si>
    <t>Sofia Ramirez</t>
  </si>
  <si>
    <t>Case Manager</t>
  </si>
  <si>
    <t>Daniel Kim</t>
  </si>
  <si>
    <t>Aisha Patel</t>
  </si>
  <si>
    <t>Marcus Reed</t>
  </si>
  <si>
    <t>Lauren Bennett</t>
  </si>
  <si>
    <t>Program Coordinator</t>
  </si>
  <si>
    <t>Noah Williams</t>
  </si>
  <si>
    <t>Chloe Nguyen</t>
  </si>
  <si>
    <t>Olivia Carter</t>
  </si>
  <si>
    <t>Gabriel Martinez</t>
  </si>
  <si>
    <t>Hannah Lee</t>
  </si>
  <si>
    <t>Jordan Price</t>
  </si>
  <si>
    <t>Priya Shah</t>
  </si>
  <si>
    <t>Caleb Foster</t>
  </si>
  <si>
    <t>Natalie Cooper</t>
  </si>
  <si>
    <t>Isaac Robinson</t>
  </si>
  <si>
    <t>Operations Specialist</t>
  </si>
  <si>
    <t>Elena Garcia</t>
  </si>
  <si>
    <t>ClientID</t>
  </si>
  <si>
    <t>FirstName</t>
  </si>
  <si>
    <t>LastName</t>
  </si>
  <si>
    <t>DateOfBirth</t>
  </si>
  <si>
    <t>EnrollmentDate</t>
  </si>
  <si>
    <t>AssignedStaffID</t>
  </si>
  <si>
    <t>ClientStatus</t>
  </si>
  <si>
    <t>BaseRiskLevel</t>
  </si>
  <si>
    <t>ExitDate</t>
  </si>
  <si>
    <t>ExitReason</t>
  </si>
  <si>
    <t>Nathan</t>
  </si>
  <si>
    <t>Brown</t>
  </si>
  <si>
    <t>Low</t>
  </si>
  <si>
    <t/>
  </si>
  <si>
    <t>Camila</t>
  </si>
  <si>
    <t>Moore</t>
  </si>
  <si>
    <t>Martin</t>
  </si>
  <si>
    <t>Medium</t>
  </si>
  <si>
    <t>Ariana</t>
  </si>
  <si>
    <t>Edwards</t>
  </si>
  <si>
    <t>Inactive</t>
  </si>
  <si>
    <t>Client Withdrew</t>
  </si>
  <si>
    <t>Priya</t>
  </si>
  <si>
    <t>Anderson</t>
  </si>
  <si>
    <t>Jose</t>
  </si>
  <si>
    <t>Green</t>
  </si>
  <si>
    <t>High</t>
  </si>
  <si>
    <t>Olivia</t>
  </si>
  <si>
    <t>Elena</t>
  </si>
  <si>
    <t>Jordan</t>
  </si>
  <si>
    <t>Smith</t>
  </si>
  <si>
    <t>Pending</t>
  </si>
  <si>
    <t>Maria</t>
  </si>
  <si>
    <t>Harris</t>
  </si>
  <si>
    <t>Xavier</t>
  </si>
  <si>
    <t>Patel</t>
  </si>
  <si>
    <t>Transferred to Another Program</t>
  </si>
  <si>
    <t>Carmen</t>
  </si>
  <si>
    <t>Carter</t>
  </si>
  <si>
    <t>Elijah</t>
  </si>
  <si>
    <t>Evans</t>
  </si>
  <si>
    <t>Lucas</t>
  </si>
  <si>
    <t>Collins</t>
  </si>
  <si>
    <t>Jasmine</t>
  </si>
  <si>
    <t>Garcia</t>
  </si>
  <si>
    <t>Rivera</t>
  </si>
  <si>
    <t>Jamal</t>
  </si>
  <si>
    <t>Thomas</t>
  </si>
  <si>
    <t>Noah</t>
  </si>
  <si>
    <t>Victoria</t>
  </si>
  <si>
    <t>Williams</t>
  </si>
  <si>
    <t>Closed</t>
  </si>
  <si>
    <t>Natalie</t>
  </si>
  <si>
    <t>Mitchell</t>
  </si>
  <si>
    <t>Morgan</t>
  </si>
  <si>
    <t>Luis</t>
  </si>
  <si>
    <t>Jackson</t>
  </si>
  <si>
    <t>Relocated</t>
  </si>
  <si>
    <t>Kevin</t>
  </si>
  <si>
    <t>Nguyen</t>
  </si>
  <si>
    <t>Alex</t>
  </si>
  <si>
    <t>Andre</t>
  </si>
  <si>
    <t>Aisha</t>
  </si>
  <si>
    <t>Kim</t>
  </si>
  <si>
    <t>Anthony</t>
  </si>
  <si>
    <t>Lewis</t>
  </si>
  <si>
    <t>Unable to Contact</t>
  </si>
  <si>
    <t>Wright</t>
  </si>
  <si>
    <t>Zoe</t>
  </si>
  <si>
    <t>Benjamin</t>
  </si>
  <si>
    <t>Johnson</t>
  </si>
  <si>
    <t>Gabriel</t>
  </si>
  <si>
    <t>Scott</t>
  </si>
  <si>
    <t>Angela</t>
  </si>
  <si>
    <t>Young</t>
  </si>
  <si>
    <t>Marcus</t>
  </si>
  <si>
    <t>Perez</t>
  </si>
  <si>
    <t>Hannah</t>
  </si>
  <si>
    <t>Ramirez</t>
  </si>
  <si>
    <t>Hill</t>
  </si>
  <si>
    <t>Leah</t>
  </si>
  <si>
    <t>Walker</t>
  </si>
  <si>
    <t>Campbell</t>
  </si>
  <si>
    <t>Reed</t>
  </si>
  <si>
    <t>Turner</t>
  </si>
  <si>
    <t>Brandon</t>
  </si>
  <si>
    <t>Taylor</t>
  </si>
  <si>
    <t>Completed Program</t>
  </si>
  <si>
    <t>Daniel</t>
  </si>
  <si>
    <t>White</t>
  </si>
  <si>
    <t>Bennett</t>
  </si>
  <si>
    <t>Aaron</t>
  </si>
  <si>
    <t>Lauren</t>
  </si>
  <si>
    <t>Brianna</t>
  </si>
  <si>
    <t>No Longer Eligible</t>
  </si>
  <si>
    <t>Hall</t>
  </si>
  <si>
    <t>Lee</t>
  </si>
  <si>
    <t>Emma</t>
  </si>
  <si>
    <t>Christopher</t>
  </si>
  <si>
    <t>Grace</t>
  </si>
  <si>
    <t>Isabella</t>
  </si>
  <si>
    <t>Dominique</t>
  </si>
  <si>
    <t>Emily</t>
  </si>
  <si>
    <t>Thompson</t>
  </si>
  <si>
    <t>Isaac</t>
  </si>
  <si>
    <t>Adams</t>
  </si>
  <si>
    <t>Samuel</t>
  </si>
  <si>
    <t>Martinez</t>
  </si>
  <si>
    <t>David</t>
  </si>
  <si>
    <t>Hernandez</t>
  </si>
  <si>
    <t>Allen</t>
  </si>
  <si>
    <t>Carlos</t>
  </si>
  <si>
    <t>Davis</t>
  </si>
  <si>
    <t>Omar</t>
  </si>
  <si>
    <t>Wilson</t>
  </si>
  <si>
    <t>Chloe</t>
  </si>
  <si>
    <t>Maya</t>
  </si>
  <si>
    <t>Miller</t>
  </si>
  <si>
    <t>Price</t>
  </si>
  <si>
    <t>Shah</t>
  </si>
  <si>
    <t>Nelson</t>
  </si>
  <si>
    <t>Rodriguez</t>
  </si>
  <si>
    <t>Ethan</t>
  </si>
  <si>
    <t>Robinson</t>
  </si>
  <si>
    <t>Michael</t>
  </si>
  <si>
    <t>Gonzalez</t>
  </si>
  <si>
    <t>Clark</t>
  </si>
  <si>
    <t>Adrian</t>
  </si>
  <si>
    <t>Sofia</t>
  </si>
  <si>
    <t>Kayla</t>
  </si>
  <si>
    <t>William</t>
  </si>
  <si>
    <t>Aaliyah</t>
  </si>
  <si>
    <t>Rachel</t>
  </si>
  <si>
    <t>Caleb</t>
  </si>
  <si>
    <t>Bailey</t>
  </si>
  <si>
    <t>Brooks</t>
  </si>
  <si>
    <t>Amara</t>
  </si>
  <si>
    <t>Cooper</t>
  </si>
  <si>
    <t>Foster</t>
  </si>
  <si>
    <t>ContactID</t>
  </si>
  <si>
    <t>ContactDate</t>
  </si>
  <si>
    <t>ContactType</t>
  </si>
  <si>
    <t>ContactOutcome</t>
  </si>
  <si>
    <t>ContactDurationMinutes</t>
  </si>
  <si>
    <t>FollowUpDate</t>
  </si>
  <si>
    <t>ContactNotesCategory</t>
  </si>
  <si>
    <t>Email</t>
  </si>
  <si>
    <t>Successful</t>
  </si>
  <si>
    <t>Crisis Support</t>
  </si>
  <si>
    <t>In Person</t>
  </si>
  <si>
    <t>Client Declined</t>
  </si>
  <si>
    <t>Follow-Up</t>
  </si>
  <si>
    <t>General Check-In</t>
  </si>
  <si>
    <t>Video</t>
  </si>
  <si>
    <t>Documentation</t>
  </si>
  <si>
    <t>Outreach Attempt</t>
  </si>
  <si>
    <t>Service Planning</t>
  </si>
  <si>
    <t>Phone</t>
  </si>
  <si>
    <t>Voicemail</t>
  </si>
  <si>
    <t>No Answer</t>
  </si>
  <si>
    <t>Rescheduled</t>
  </si>
  <si>
    <t>Program Update</t>
  </si>
  <si>
    <t>Referral</t>
  </si>
  <si>
    <t>Unable to Locate</t>
  </si>
  <si>
    <t>Text Message</t>
  </si>
  <si>
    <t>ContactCount</t>
  </si>
  <si>
    <t>LatestSuccessfulContact</t>
  </si>
  <si>
    <t>SuccessfulContactCount</t>
  </si>
  <si>
    <t>DaysSinceContact</t>
  </si>
  <si>
    <t>OperationalPriority</t>
  </si>
  <si>
    <t>FollowUpRequired</t>
  </si>
  <si>
    <t>NeedsInactivityReview</t>
  </si>
  <si>
    <t>Critical</t>
  </si>
  <si>
    <t>Yes</t>
  </si>
  <si>
    <t>No</t>
  </si>
  <si>
    <t>ApproachingInactivity</t>
  </si>
  <si>
    <t>Metric</t>
  </si>
  <si>
    <t>Source</t>
  </si>
  <si>
    <t>Total Clients</t>
  </si>
  <si>
    <t>Client Summary</t>
  </si>
  <si>
    <t>Total number of client records</t>
  </si>
  <si>
    <t>Active Clients</t>
  </si>
  <si>
    <t>Clients with Active status</t>
  </si>
  <si>
    <t>Pending Clients</t>
  </si>
  <si>
    <t>Clients with Pending status</t>
  </si>
  <si>
    <t>Closed Clients</t>
  </si>
  <si>
    <t>Clients with Closed status</t>
  </si>
  <si>
    <t>Critical Priority Clients</t>
  </si>
  <si>
    <t>Clients requiring immediate review</t>
  </si>
  <si>
    <t>High Priority Clients</t>
  </si>
  <si>
    <t>Clients requiring prompt follow-up</t>
  </si>
  <si>
    <t>Follow-Up Required</t>
  </si>
  <si>
    <t>Clients currently overdue for follow-up</t>
  </si>
  <si>
    <t>Needs Inactivity Review</t>
  </si>
  <si>
    <t>Clients exceeding inactivity threshold</t>
  </si>
  <si>
    <t>Average Days Since Contact</t>
  </si>
  <si>
    <t>Average days since last successful contact</t>
  </si>
  <si>
    <t>Total Contact Records</t>
  </si>
  <si>
    <t>Contacts</t>
  </si>
  <si>
    <t>Total number of interactions</t>
  </si>
  <si>
    <t>Successful Contacts</t>
  </si>
  <si>
    <t>Contacts with Successful outcome</t>
  </si>
  <si>
    <t>Staff Members</t>
  </si>
  <si>
    <t>Staff</t>
  </si>
  <si>
    <t>Total active staff</t>
  </si>
  <si>
    <t>Programs</t>
  </si>
  <si>
    <t>Total active programs</t>
  </si>
  <si>
    <t>Sucessful Contact Rate</t>
  </si>
  <si>
    <t>Successful contacts divided by total contact records</t>
  </si>
  <si>
    <t>Client Prioritization &amp; Operations Dashboard</t>
  </si>
  <si>
    <t>Reporting Date:</t>
  </si>
  <si>
    <t>Critical Priority</t>
  </si>
  <si>
    <t>High Priority</t>
  </si>
  <si>
    <t>Operational workload, follow-up, and inactivity monitoring</t>
  </si>
  <si>
    <t>Program ID</t>
  </si>
  <si>
    <t>Open Clients</t>
  </si>
  <si>
    <t>Dashboard chart support data</t>
  </si>
  <si>
    <t>Priority</t>
  </si>
  <si>
    <t>Clients</t>
  </si>
  <si>
    <t>Month</t>
  </si>
  <si>
    <t>Contact Records</t>
  </si>
  <si>
    <t>Staff ID</t>
  </si>
  <si>
    <t>Capacity</t>
  </si>
  <si>
    <t>Utilization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</si>
</sst>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0" formatCode="0.0"/>
    <numFmt numFmtId="172" formatCode="mmmm\ d\,\ yyyy"/>
    <numFmt numFmtId="173" formatCode="mmm\ yyyy"/>
  </numFmts>
  <fonts count="1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color rgb="FF1F374E"/>
      <name val="Aptos"/>
      <family val="2"/>
    </font>
    <font>
      <b/>
      <sz val="26"/>
      <color rgb="FF146E69"/>
      <name val="Aptos Display"/>
      <family val="2"/>
    </font>
    <font>
      <b/>
      <sz val="11"/>
      <color theme="0"/>
      <name val="Aptos"/>
      <family val="2"/>
    </font>
    <font>
      <b/>
      <sz val="26"/>
      <color rgb="FF912323"/>
      <name val="Aptos Display"/>
      <family val="2"/>
    </font>
    <font>
      <b/>
      <sz val="11"/>
      <color rgb="FF50370A"/>
      <name val="Aptos"/>
      <family val="2"/>
    </font>
    <font>
      <b/>
      <sz val="26"/>
      <color rgb="FF915A00"/>
      <name val="Aptos Display"/>
      <family val="2"/>
    </font>
    <font>
      <b/>
      <sz val="26"/>
      <color rgb="FF2E5F8A"/>
      <name val="Aptos Display"/>
      <family val="2"/>
    </font>
    <font>
      <b/>
      <sz val="26"/>
      <color rgb="FF964614"/>
      <name val="Aptos Display"/>
      <family val="2"/>
    </font>
    <font>
      <b/>
      <sz val="26"/>
      <color rgb="FF374151"/>
      <name val="Aptos Display"/>
      <family val="2"/>
    </font>
    <font>
      <b/>
      <sz val="24"/>
      <color theme="0"/>
      <name val="Aptos Display"/>
      <family val="2"/>
    </font>
    <font>
      <i/>
      <sz val="11"/>
      <color rgb="FF5A6470"/>
      <name val="Aptos"/>
      <family val="2"/>
    </font>
    <font>
      <b/>
      <sz val="10"/>
      <color theme="2" tint="-0.74999237037263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E7EEF5"/>
        <bgColor indexed="64"/>
      </patternFill>
    </fill>
    <fill>
      <patternFill patternType="solid">
        <fgColor rgb="FF993333"/>
        <bgColor indexed="64"/>
      </patternFill>
    </fill>
    <fill>
      <patternFill patternType="solid">
        <fgColor rgb="FFFAEBEB"/>
        <bgColor indexed="64"/>
      </patternFill>
    </fill>
    <fill>
      <patternFill patternType="solid">
        <fgColor rgb="FFE6B143"/>
        <bgColor indexed="64"/>
      </patternFill>
    </fill>
    <fill>
      <patternFill patternType="solid">
        <fgColor rgb="FFFFF7E0"/>
        <bgColor indexed="64"/>
      </patternFill>
    </fill>
    <fill>
      <patternFill patternType="solid">
        <fgColor rgb="FFBF652B"/>
        <bgColor indexed="64"/>
      </patternFill>
    </fill>
    <fill>
      <patternFill patternType="solid">
        <fgColor rgb="FFFCEFE2"/>
        <bgColor indexed="64"/>
      </patternFill>
    </fill>
    <fill>
      <patternFill patternType="solid">
        <fgColor rgb="FF1F374E"/>
        <bgColor indexed="64"/>
      </patternFill>
    </fill>
    <fill>
      <patternFill patternType="solid">
        <fgColor rgb="FF1F374E"/>
        <bgColor theme="4"/>
      </patternFill>
    </fill>
  </fills>
  <borders count="2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1F374E"/>
      </left>
      <right/>
      <top/>
      <bottom style="thin">
        <color rgb="FF1F374E"/>
      </bottom>
      <diagonal/>
    </border>
    <border>
      <left/>
      <right/>
      <top/>
      <bottom style="thin">
        <color rgb="FF1F374E"/>
      </bottom>
      <diagonal/>
    </border>
    <border>
      <left/>
      <right style="thin">
        <color rgb="FF1F374E"/>
      </right>
      <top/>
      <bottom style="thin">
        <color rgb="FF1F374E"/>
      </bottom>
      <diagonal/>
    </border>
    <border>
      <left style="thin">
        <color rgb="FF1F374E"/>
      </left>
      <right/>
      <top style="thin">
        <color rgb="FF1F374E"/>
      </top>
      <bottom/>
      <diagonal/>
    </border>
    <border>
      <left/>
      <right/>
      <top style="thin">
        <color rgb="FF1F374E"/>
      </top>
      <bottom/>
      <diagonal/>
    </border>
    <border>
      <left/>
      <right style="thin">
        <color rgb="FF1F374E"/>
      </right>
      <top style="thin">
        <color rgb="FF1F374E"/>
      </top>
      <bottom/>
      <diagonal/>
    </border>
    <border>
      <left style="thin">
        <color rgb="FF1F374E"/>
      </left>
      <right/>
      <top/>
      <bottom/>
      <diagonal/>
    </border>
    <border>
      <left/>
      <right style="thin">
        <color rgb="FF1F374E"/>
      </right>
      <top/>
      <bottom/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14" fontId="2" fillId="0" borderId="0" xfId="0" applyNumberFormat="1" applyFont="1" applyAlignment="1">
      <alignment horizontal="right" vertical="center" wrapText="1"/>
    </xf>
    <xf numFmtId="9" fontId="0" fillId="0" borderId="0" xfId="0" applyNumberFormat="1" applyAlignment="1">
      <alignment horizontal="right" vertical="center" wrapText="1"/>
    </xf>
    <xf numFmtId="14" fontId="0" fillId="0" borderId="0" xfId="0" applyNumberFormat="1"/>
    <xf numFmtId="0" fontId="4" fillId="2" borderId="4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0" fillId="3" borderId="4" xfId="0" applyFont="1" applyFill="1" applyBorder="1" applyAlignment="1">
      <alignment vertical="center" wrapText="1"/>
    </xf>
    <xf numFmtId="0" fontId="0" fillId="3" borderId="5" xfId="0" applyFont="1" applyFill="1" applyBorder="1" applyAlignment="1">
      <alignment vertical="center" wrapText="1"/>
    </xf>
    <xf numFmtId="0" fontId="0" fillId="3" borderId="6" xfId="0" applyFont="1" applyFill="1" applyBorder="1" applyAlignment="1">
      <alignment vertical="center" wrapText="1"/>
    </xf>
    <xf numFmtId="0" fontId="0" fillId="0" borderId="4" xfId="0" applyFont="1" applyBorder="1" applyAlignment="1">
      <alignment vertical="center" wrapText="1"/>
    </xf>
    <xf numFmtId="0" fontId="0" fillId="0" borderId="5" xfId="0" applyFont="1" applyBorder="1" applyAlignment="1">
      <alignment vertical="center" wrapText="1"/>
    </xf>
    <xf numFmtId="0" fontId="0" fillId="0" borderId="6" xfId="0" applyFont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0" fillId="3" borderId="2" xfId="0" applyFont="1" applyFill="1" applyBorder="1" applyAlignment="1">
      <alignment vertical="center" wrapText="1"/>
    </xf>
    <xf numFmtId="0" fontId="0" fillId="3" borderId="3" xfId="0" applyFont="1" applyFill="1" applyBorder="1" applyAlignment="1">
      <alignment vertical="center" wrapText="1"/>
    </xf>
    <xf numFmtId="0" fontId="0" fillId="0" borderId="7" xfId="0" applyFont="1" applyFill="1" applyBorder="1" applyAlignment="1">
      <alignment vertical="center" wrapText="1"/>
    </xf>
    <xf numFmtId="0" fontId="0" fillId="0" borderId="0" xfId="0" applyFont="1" applyFill="1" applyBorder="1" applyAlignment="1">
      <alignment vertical="center" wrapText="1"/>
    </xf>
    <xf numFmtId="0" fontId="0" fillId="0" borderId="8" xfId="0" applyFont="1" applyFill="1" applyBorder="1" applyAlignment="1">
      <alignment vertical="center" wrapText="1"/>
    </xf>
    <xf numFmtId="10" fontId="0" fillId="0" borderId="0" xfId="0" applyNumberFormat="1"/>
    <xf numFmtId="0" fontId="0" fillId="0" borderId="0" xfId="0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0" fontId="6" fillId="4" borderId="20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2" xfId="0" applyFont="1" applyFill="1" applyBorder="1" applyAlignment="1">
      <alignment horizontal="center" vertical="center"/>
    </xf>
    <xf numFmtId="1" fontId="7" fillId="0" borderId="12" xfId="0" applyNumberFormat="1" applyFont="1" applyBorder="1" applyAlignment="1">
      <alignment horizontal="center" vertical="center"/>
    </xf>
    <xf numFmtId="1" fontId="7" fillId="0" borderId="0" xfId="0" applyNumberFormat="1" applyFont="1" applyBorder="1" applyAlignment="1">
      <alignment horizontal="center" vertical="center"/>
    </xf>
    <xf numFmtId="1" fontId="7" fillId="0" borderId="13" xfId="0" applyNumberFormat="1" applyFont="1" applyBorder="1" applyAlignment="1">
      <alignment horizontal="center" vertical="center"/>
    </xf>
    <xf numFmtId="1" fontId="7" fillId="0" borderId="14" xfId="0" applyNumberFormat="1" applyFont="1" applyBorder="1" applyAlignment="1">
      <alignment horizontal="center" vertical="center"/>
    </xf>
    <xf numFmtId="1" fontId="7" fillId="0" borderId="15" xfId="0" applyNumberFormat="1" applyFont="1" applyBorder="1" applyAlignment="1">
      <alignment horizontal="center" vertical="center"/>
    </xf>
    <xf numFmtId="1" fontId="7" fillId="0" borderId="16" xfId="0" applyNumberFormat="1" applyFont="1" applyBorder="1" applyAlignment="1">
      <alignment horizontal="center" vertical="center"/>
    </xf>
    <xf numFmtId="0" fontId="8" fillId="5" borderId="20" xfId="0" applyFont="1" applyFill="1" applyBorder="1" applyAlignment="1">
      <alignment horizontal="center" vertical="center"/>
    </xf>
    <xf numFmtId="0" fontId="8" fillId="5" borderId="21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1" fontId="9" fillId="6" borderId="23" xfId="0" applyNumberFormat="1" applyFont="1" applyFill="1" applyBorder="1" applyAlignment="1">
      <alignment horizontal="center" vertical="center"/>
    </xf>
    <xf numFmtId="1" fontId="9" fillId="6" borderId="0" xfId="0" applyNumberFormat="1" applyFont="1" applyFill="1" applyBorder="1" applyAlignment="1">
      <alignment horizontal="center" vertical="center"/>
    </xf>
    <xf numFmtId="1" fontId="9" fillId="6" borderId="24" xfId="0" applyNumberFormat="1" applyFont="1" applyFill="1" applyBorder="1" applyAlignment="1">
      <alignment horizontal="center" vertical="center"/>
    </xf>
    <xf numFmtId="1" fontId="9" fillId="6" borderId="17" xfId="0" applyNumberFormat="1" applyFont="1" applyFill="1" applyBorder="1" applyAlignment="1">
      <alignment horizontal="center" vertical="center"/>
    </xf>
    <xf numFmtId="1" fontId="9" fillId="6" borderId="18" xfId="0" applyNumberFormat="1" applyFont="1" applyFill="1" applyBorder="1" applyAlignment="1">
      <alignment horizontal="center" vertical="center"/>
    </xf>
    <xf numFmtId="1" fontId="9" fillId="6" borderId="19" xfId="0" applyNumberFormat="1" applyFont="1" applyFill="1" applyBorder="1" applyAlignment="1">
      <alignment horizontal="center" vertical="center"/>
    </xf>
    <xf numFmtId="0" fontId="10" fillId="7" borderId="20" xfId="0" applyFont="1" applyFill="1" applyBorder="1" applyAlignment="1">
      <alignment horizontal="center" vertical="center"/>
    </xf>
    <xf numFmtId="0" fontId="10" fillId="7" borderId="21" xfId="0" applyFont="1" applyFill="1" applyBorder="1" applyAlignment="1">
      <alignment horizontal="center" vertical="center"/>
    </xf>
    <xf numFmtId="0" fontId="10" fillId="7" borderId="22" xfId="0" applyFont="1" applyFill="1" applyBorder="1" applyAlignment="1">
      <alignment horizontal="center" vertical="center"/>
    </xf>
    <xf numFmtId="1" fontId="11" fillId="8" borderId="23" xfId="0" applyNumberFormat="1" applyFont="1" applyFill="1" applyBorder="1" applyAlignment="1">
      <alignment horizontal="center" vertical="center"/>
    </xf>
    <xf numFmtId="1" fontId="11" fillId="8" borderId="0" xfId="0" applyNumberFormat="1" applyFont="1" applyFill="1" applyBorder="1" applyAlignment="1">
      <alignment horizontal="center" vertical="center"/>
    </xf>
    <xf numFmtId="1" fontId="11" fillId="8" borderId="24" xfId="0" applyNumberFormat="1" applyFont="1" applyFill="1" applyBorder="1" applyAlignment="1">
      <alignment horizontal="center" vertical="center"/>
    </xf>
    <xf numFmtId="1" fontId="11" fillId="8" borderId="17" xfId="0" applyNumberFormat="1" applyFont="1" applyFill="1" applyBorder="1" applyAlignment="1">
      <alignment horizontal="center" vertical="center"/>
    </xf>
    <xf numFmtId="1" fontId="11" fillId="8" borderId="18" xfId="0" applyNumberFormat="1" applyFont="1" applyFill="1" applyBorder="1" applyAlignment="1">
      <alignment horizontal="center" vertical="center"/>
    </xf>
    <xf numFmtId="1" fontId="11" fillId="8" borderId="19" xfId="0" applyNumberFormat="1" applyFont="1" applyFill="1" applyBorder="1" applyAlignment="1">
      <alignment horizontal="center" vertical="center"/>
    </xf>
    <xf numFmtId="1" fontId="12" fillId="0" borderId="23" xfId="0" applyNumberFormat="1" applyFont="1" applyBorder="1" applyAlignment="1">
      <alignment horizontal="center" vertical="center"/>
    </xf>
    <xf numFmtId="1" fontId="12" fillId="0" borderId="0" xfId="0" applyNumberFormat="1" applyFont="1" applyBorder="1" applyAlignment="1">
      <alignment horizontal="center" vertical="center"/>
    </xf>
    <xf numFmtId="1" fontId="12" fillId="0" borderId="24" xfId="0" applyNumberFormat="1" applyFont="1" applyBorder="1" applyAlignment="1">
      <alignment horizontal="center" vertical="center"/>
    </xf>
    <xf numFmtId="1" fontId="12" fillId="0" borderId="17" xfId="0" applyNumberFormat="1" applyFont="1" applyBorder="1" applyAlignment="1">
      <alignment horizontal="center" vertical="center"/>
    </xf>
    <xf numFmtId="1" fontId="12" fillId="0" borderId="18" xfId="0" applyNumberFormat="1" applyFont="1" applyBorder="1" applyAlignment="1">
      <alignment horizontal="center" vertical="center"/>
    </xf>
    <xf numFmtId="1" fontId="12" fillId="0" borderId="19" xfId="0" applyNumberFormat="1" applyFont="1" applyBorder="1" applyAlignment="1">
      <alignment horizontal="center" vertical="center"/>
    </xf>
    <xf numFmtId="0" fontId="8" fillId="9" borderId="20" xfId="0" applyFont="1" applyFill="1" applyBorder="1" applyAlignment="1">
      <alignment horizontal="center" vertical="center"/>
    </xf>
    <xf numFmtId="0" fontId="8" fillId="9" borderId="21" xfId="0" applyFont="1" applyFill="1" applyBorder="1" applyAlignment="1">
      <alignment horizontal="center" vertical="center"/>
    </xf>
    <xf numFmtId="0" fontId="8" fillId="9" borderId="22" xfId="0" applyFont="1" applyFill="1" applyBorder="1" applyAlignment="1">
      <alignment horizontal="center" vertical="center"/>
    </xf>
    <xf numFmtId="1" fontId="13" fillId="10" borderId="23" xfId="0" applyNumberFormat="1" applyFont="1" applyFill="1" applyBorder="1" applyAlignment="1">
      <alignment horizontal="center" vertical="center"/>
    </xf>
    <xf numFmtId="1" fontId="13" fillId="10" borderId="0" xfId="0" applyNumberFormat="1" applyFont="1" applyFill="1" applyBorder="1" applyAlignment="1">
      <alignment horizontal="center" vertical="center"/>
    </xf>
    <xf numFmtId="1" fontId="13" fillId="10" borderId="24" xfId="0" applyNumberFormat="1" applyFont="1" applyFill="1" applyBorder="1" applyAlignment="1">
      <alignment horizontal="center" vertical="center"/>
    </xf>
    <xf numFmtId="1" fontId="13" fillId="10" borderId="17" xfId="0" applyNumberFormat="1" applyFont="1" applyFill="1" applyBorder="1" applyAlignment="1">
      <alignment horizontal="center" vertical="center"/>
    </xf>
    <xf numFmtId="1" fontId="13" fillId="10" borderId="18" xfId="0" applyNumberFormat="1" applyFont="1" applyFill="1" applyBorder="1" applyAlignment="1">
      <alignment horizontal="center" vertical="center"/>
    </xf>
    <xf numFmtId="1" fontId="13" fillId="10" borderId="19" xfId="0" applyNumberFormat="1" applyFont="1" applyFill="1" applyBorder="1" applyAlignment="1">
      <alignment horizontal="center" vertical="center"/>
    </xf>
    <xf numFmtId="170" fontId="14" fillId="0" borderId="23" xfId="0" applyNumberFormat="1" applyFont="1" applyBorder="1" applyAlignment="1">
      <alignment horizontal="center" vertical="center"/>
    </xf>
    <xf numFmtId="170" fontId="14" fillId="0" borderId="0" xfId="0" applyNumberFormat="1" applyFont="1" applyBorder="1" applyAlignment="1">
      <alignment horizontal="center" vertical="center"/>
    </xf>
    <xf numFmtId="170" fontId="14" fillId="0" borderId="24" xfId="0" applyNumberFormat="1" applyFont="1" applyBorder="1" applyAlignment="1">
      <alignment horizontal="center" vertical="center"/>
    </xf>
    <xf numFmtId="170" fontId="14" fillId="0" borderId="17" xfId="0" applyNumberFormat="1" applyFont="1" applyBorder="1" applyAlignment="1">
      <alignment horizontal="center" vertical="center"/>
    </xf>
    <xf numFmtId="170" fontId="14" fillId="0" borderId="18" xfId="0" applyNumberFormat="1" applyFont="1" applyBorder="1" applyAlignment="1">
      <alignment horizontal="center" vertical="center"/>
    </xf>
    <xf numFmtId="170" fontId="14" fillId="0" borderId="19" xfId="0" applyNumberFormat="1" applyFont="1" applyBorder="1" applyAlignment="1">
      <alignment horizontal="center" vertical="center"/>
    </xf>
    <xf numFmtId="0" fontId="15" fillId="11" borderId="0" xfId="0" applyFont="1" applyFill="1" applyAlignment="1">
      <alignment horizontal="left" vertical="center"/>
    </xf>
    <xf numFmtId="0" fontId="16" fillId="0" borderId="15" xfId="0" applyFont="1" applyBorder="1" applyAlignment="1">
      <alignment horizontal="left"/>
    </xf>
    <xf numFmtId="0" fontId="5" fillId="0" borderId="15" xfId="0" applyFont="1" applyBorder="1" applyAlignment="1">
      <alignment horizontal="left"/>
    </xf>
    <xf numFmtId="0" fontId="0" fillId="0" borderId="15" xfId="0" applyBorder="1"/>
    <xf numFmtId="0" fontId="17" fillId="0" borderId="15" xfId="0" applyFont="1" applyBorder="1" applyAlignment="1">
      <alignment horizontal="right"/>
    </xf>
    <xf numFmtId="0" fontId="4" fillId="12" borderId="0" xfId="0" applyFont="1" applyFill="1" applyBorder="1" applyAlignment="1">
      <alignment horizontal="center" vertical="center" wrapText="1"/>
    </xf>
    <xf numFmtId="172" fontId="17" fillId="0" borderId="15" xfId="0" applyNumberFormat="1" applyFont="1" applyBorder="1" applyAlignment="1">
      <alignment horizontal="left"/>
    </xf>
    <xf numFmtId="173" fontId="0" fillId="0" borderId="0" xfId="0" applyNumberFormat="1"/>
    <xf numFmtId="0" fontId="4" fillId="11" borderId="0" xfId="0" applyFont="1" applyFill="1" applyAlignment="1">
      <alignment horizontal="center" vertical="center"/>
    </xf>
    <xf numFmtId="9" fontId="0" fillId="0" borderId="0" xfId="0" applyNumberFormat="1"/>
    <xf numFmtId="9" fontId="4" fillId="11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33">
    <dxf>
      <numFmt numFmtId="19" formatCode="m/d/yyyy"/>
    </dxf>
    <dxf>
      <numFmt numFmtId="0" formatCode="General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general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BEC6CF"/>
      <color rgb="FF2E5F8A"/>
      <color rgb="FF1F374E"/>
      <color rgb="FF146E69"/>
      <color rgb="FFE6B143"/>
      <color rgb="FF993333"/>
      <color rgb="FFE67543"/>
      <color rgb="FF5A6470"/>
      <color rgb="FF374151"/>
      <color rgb="FF96461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rgbClr val="1F374E"/>
                </a:solidFill>
                <a:latin typeface="Aptos Display" panose="020B0004020202020204" pitchFamily="34" charset="0"/>
              </a:rPr>
              <a:t>Active</a:t>
            </a:r>
            <a:r>
              <a:rPr lang="en-US" b="1" baseline="0">
                <a:solidFill>
                  <a:srgbClr val="1F374E"/>
                </a:solidFill>
                <a:latin typeface="Aptos Display" panose="020B0004020202020204" pitchFamily="34" charset="0"/>
              </a:rPr>
              <a:t> and Pending Clients by Program</a:t>
            </a:r>
            <a:endParaRPr lang="en-US" b="1">
              <a:solidFill>
                <a:srgbClr val="1F374E"/>
              </a:solidFill>
              <a:latin typeface="Aptos Display" panose="020B0004020202020204" pitchFamily="34" charset="0"/>
            </a:endParaRPr>
          </a:p>
        </c:rich>
      </c:tx>
      <c:layout>
        <c:manualLayout>
          <c:xMode val="edge"/>
          <c:yMode val="edge"/>
          <c:x val="2.3978142076502729E-2"/>
          <c:y val="2.977139320743394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Metrics!$H$1</c:f>
              <c:strCache>
                <c:ptCount val="1"/>
                <c:pt idx="0">
                  <c:v>Active</c:v>
                </c:pt>
              </c:strCache>
            </c:strRef>
          </c:tx>
          <c:spPr>
            <a:solidFill>
              <a:srgbClr val="146E69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Metrics!$G$2:$G$7</c:f>
              <c:strCache>
                <c:ptCount val="6"/>
                <c:pt idx="0">
                  <c:v>Community Support</c:v>
                </c:pt>
                <c:pt idx="1">
                  <c:v>Housing Navigation</c:v>
                </c:pt>
                <c:pt idx="2">
                  <c:v>Employment Services</c:v>
                </c:pt>
                <c:pt idx="3">
                  <c:v>Behavioral Health Coordination</c:v>
                </c:pt>
                <c:pt idx="4">
                  <c:v>Family Stabilization</c:v>
                </c:pt>
                <c:pt idx="5">
                  <c:v>Transition Services</c:v>
                </c:pt>
              </c:strCache>
            </c:strRef>
          </c:cat>
          <c:val>
            <c:numRef>
              <c:f>Metrics!$H$2:$H$7</c:f>
              <c:numCache>
                <c:formatCode>General</c:formatCode>
                <c:ptCount val="6"/>
                <c:pt idx="0">
                  <c:v>32</c:v>
                </c:pt>
                <c:pt idx="1">
                  <c:v>30</c:v>
                </c:pt>
                <c:pt idx="2">
                  <c:v>33</c:v>
                </c:pt>
                <c:pt idx="3">
                  <c:v>20</c:v>
                </c:pt>
                <c:pt idx="4">
                  <c:v>37</c:v>
                </c:pt>
                <c:pt idx="5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D1-4D62-A1FE-22D6B94163E7}"/>
            </c:ext>
          </c:extLst>
        </c:ser>
        <c:ser>
          <c:idx val="1"/>
          <c:order val="1"/>
          <c:tx>
            <c:strRef>
              <c:f>Metrics!$I$1</c:f>
              <c:strCache>
                <c:ptCount val="1"/>
                <c:pt idx="0">
                  <c:v>Pending</c:v>
                </c:pt>
              </c:strCache>
            </c:strRef>
          </c:tx>
          <c:spPr>
            <a:solidFill>
              <a:srgbClr val="E6754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Metrics!$G$2:$G$7</c:f>
              <c:strCache>
                <c:ptCount val="6"/>
                <c:pt idx="0">
                  <c:v>Community Support</c:v>
                </c:pt>
                <c:pt idx="1">
                  <c:v>Housing Navigation</c:v>
                </c:pt>
                <c:pt idx="2">
                  <c:v>Employment Services</c:v>
                </c:pt>
                <c:pt idx="3">
                  <c:v>Behavioral Health Coordination</c:v>
                </c:pt>
                <c:pt idx="4">
                  <c:v>Family Stabilization</c:v>
                </c:pt>
                <c:pt idx="5">
                  <c:v>Transition Services</c:v>
                </c:pt>
              </c:strCache>
            </c:strRef>
          </c:cat>
          <c:val>
            <c:numRef>
              <c:f>Metrics!$I$2:$I$7</c:f>
              <c:numCache>
                <c:formatCode>General</c:formatCode>
                <c:ptCount val="6"/>
                <c:pt idx="0">
                  <c:v>2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D1-4D62-A1FE-22D6B94163E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695932000"/>
        <c:axId val="1527492240"/>
      </c:barChart>
      <c:catAx>
        <c:axId val="169593200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492240"/>
        <c:crosses val="autoZero"/>
        <c:auto val="1"/>
        <c:lblAlgn val="ctr"/>
        <c:lblOffset val="100"/>
        <c:noMultiLvlLbl val="0"/>
      </c:catAx>
      <c:valAx>
        <c:axId val="1527492240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932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400" b="1">
                <a:solidFill>
                  <a:srgbClr val="1F374E"/>
                </a:solidFill>
                <a:latin typeface="Aptos Display" panose="020B0004020202020204" pitchFamily="34" charset="0"/>
              </a:rPr>
              <a:t>Operational</a:t>
            </a:r>
            <a:r>
              <a:rPr lang="en-US" sz="1400" b="1" baseline="0">
                <a:solidFill>
                  <a:srgbClr val="1F374E"/>
                </a:solidFill>
                <a:latin typeface="Aptos Display" panose="020B0004020202020204" pitchFamily="34" charset="0"/>
              </a:rPr>
              <a:t> Priority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ln>
                <a:noFill/>
              </a:ln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Metrics!$M$1</c:f>
              <c:strCache>
                <c:ptCount val="1"/>
                <c:pt idx="0">
                  <c:v>Clients</c:v>
                </c:pt>
              </c:strCache>
            </c:strRef>
          </c:tx>
          <c:dPt>
            <c:idx val="0"/>
            <c:bubble3D val="0"/>
            <c:spPr>
              <a:solidFill>
                <a:srgbClr val="99333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E59-47BF-9DF4-019D5167EC32}"/>
              </c:ext>
            </c:extLst>
          </c:dPt>
          <c:dPt>
            <c:idx val="1"/>
            <c:bubble3D val="0"/>
            <c:spPr>
              <a:solidFill>
                <a:srgbClr val="E6B14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E59-47BF-9DF4-019D5167EC32}"/>
              </c:ext>
            </c:extLst>
          </c:dPt>
          <c:dPt>
            <c:idx val="2"/>
            <c:bubble3D val="0"/>
            <c:spPr>
              <a:solidFill>
                <a:srgbClr val="2E5F8A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E59-47BF-9DF4-019D5167EC32}"/>
              </c:ext>
            </c:extLst>
          </c:dPt>
          <c:dPt>
            <c:idx val="3"/>
            <c:bubble3D val="0"/>
            <c:spPr>
              <a:solidFill>
                <a:srgbClr val="146E69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E59-47BF-9DF4-019D5167EC32}"/>
              </c:ext>
            </c:extLst>
          </c:dPt>
          <c:dLbls>
            <c:dLbl>
              <c:idx val="0"/>
              <c:layout>
                <c:manualLayout>
                  <c:x val="4.3060356185191502E-2"/>
                  <c:y val="-8.903016209698583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E59-47BF-9DF4-019D5167EC32}"/>
                </c:ext>
              </c:extLst>
            </c:dLbl>
            <c:dLbl>
              <c:idx val="1"/>
              <c:layout>
                <c:manualLayout>
                  <c:x val="6.7666274005300925E-2"/>
                  <c:y val="5.9353441397990529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E59-47BF-9DF4-019D5167EC32}"/>
                </c:ext>
              </c:extLst>
            </c:dLbl>
            <c:dLbl>
              <c:idx val="2"/>
              <c:layout>
                <c:manualLayout>
                  <c:x val="-6.7666031821070421E-2"/>
                  <c:y val="8.055109904012984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E59-47BF-9DF4-019D5167EC32}"/>
                </c:ext>
              </c:extLst>
            </c:dLbl>
            <c:dLbl>
              <c:idx val="3"/>
              <c:layout>
                <c:manualLayout>
                  <c:x val="-3.6908876730164145E-2"/>
                  <c:y val="-0.1229464143244089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E59-47BF-9DF4-019D5167EC32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Metrics!$L$2:$L$5</c:f>
              <c:strCache>
                <c:ptCount val="4"/>
                <c:pt idx="0">
                  <c:v>Critical</c:v>
                </c:pt>
                <c:pt idx="1">
                  <c:v>High</c:v>
                </c:pt>
                <c:pt idx="2">
                  <c:v>Medium</c:v>
                </c:pt>
                <c:pt idx="3">
                  <c:v>Low</c:v>
                </c:pt>
              </c:strCache>
            </c:strRef>
          </c:cat>
          <c:val>
            <c:numRef>
              <c:f>Metrics!$M$2:$M$5</c:f>
              <c:numCache>
                <c:formatCode>General</c:formatCode>
                <c:ptCount val="4"/>
                <c:pt idx="0">
                  <c:v>79</c:v>
                </c:pt>
                <c:pt idx="1">
                  <c:v>24</c:v>
                </c:pt>
                <c:pt idx="2">
                  <c:v>33</c:v>
                </c:pt>
                <c:pt idx="3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E59-47BF-9DF4-019D5167EC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ln>
                <a:noFill/>
              </a:ln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n>
            <a:noFill/>
          </a:ln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1F374E"/>
                </a:solidFill>
                <a:latin typeface="Aptos Display" panose="020B0004020202020204" pitchFamily="34" charset="0"/>
                <a:ea typeface="+mn-ea"/>
                <a:cs typeface="+mn-cs"/>
              </a:defRPr>
            </a:pPr>
            <a:r>
              <a:rPr lang="en-US" b="1">
                <a:solidFill>
                  <a:srgbClr val="1F374E"/>
                </a:solidFill>
                <a:latin typeface="Aptos Display" panose="020B0004020202020204" pitchFamily="34" charset="0"/>
              </a:rPr>
              <a:t>Contact Volume</a:t>
            </a:r>
            <a:r>
              <a:rPr lang="en-US" b="1" baseline="0">
                <a:solidFill>
                  <a:srgbClr val="1F374E"/>
                </a:solidFill>
                <a:latin typeface="Aptos Display" panose="020B0004020202020204" pitchFamily="34" charset="0"/>
              </a:rPr>
              <a:t> by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1F374E"/>
              </a:solidFill>
              <a:latin typeface="Aptos Display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Metrics!$Q$1</c:f>
              <c:strCache>
                <c:ptCount val="1"/>
                <c:pt idx="0">
                  <c:v>Contact Records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63500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Metrics!$P$2:$P$13</c:f>
              <c:numCache>
                <c:formatCode>mmm\ yyyy</c:formatCode>
                <c:ptCount val="12"/>
                <c:pt idx="0">
                  <c:v>45870</c:v>
                </c:pt>
                <c:pt idx="1">
                  <c:v>45901</c:v>
                </c:pt>
                <c:pt idx="2">
                  <c:v>45931</c:v>
                </c:pt>
                <c:pt idx="3">
                  <c:v>45962</c:v>
                </c:pt>
                <c:pt idx="4">
                  <c:v>45992</c:v>
                </c:pt>
                <c:pt idx="5">
                  <c:v>46023</c:v>
                </c:pt>
                <c:pt idx="6">
                  <c:v>46054</c:v>
                </c:pt>
                <c:pt idx="7">
                  <c:v>46082</c:v>
                </c:pt>
                <c:pt idx="8">
                  <c:v>46113</c:v>
                </c:pt>
                <c:pt idx="9">
                  <c:v>46143</c:v>
                </c:pt>
                <c:pt idx="10">
                  <c:v>46174</c:v>
                </c:pt>
                <c:pt idx="11">
                  <c:v>46204</c:v>
                </c:pt>
              </c:numCache>
            </c:numRef>
          </c:cat>
          <c:val>
            <c:numRef>
              <c:f>Metrics!$Q$2:$Q$13</c:f>
              <c:numCache>
                <c:formatCode>General</c:formatCode>
                <c:ptCount val="12"/>
                <c:pt idx="0">
                  <c:v>79</c:v>
                </c:pt>
                <c:pt idx="1">
                  <c:v>106</c:v>
                </c:pt>
                <c:pt idx="2">
                  <c:v>99</c:v>
                </c:pt>
                <c:pt idx="3">
                  <c:v>124</c:v>
                </c:pt>
                <c:pt idx="4">
                  <c:v>137</c:v>
                </c:pt>
                <c:pt idx="5">
                  <c:v>140</c:v>
                </c:pt>
                <c:pt idx="6">
                  <c:v>148</c:v>
                </c:pt>
                <c:pt idx="7">
                  <c:v>171</c:v>
                </c:pt>
                <c:pt idx="8">
                  <c:v>154</c:v>
                </c:pt>
                <c:pt idx="9">
                  <c:v>245</c:v>
                </c:pt>
                <c:pt idx="10">
                  <c:v>300</c:v>
                </c:pt>
                <c:pt idx="11">
                  <c:v>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E1-409D-BB32-3D42E5053C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6381744"/>
        <c:axId val="1527462000"/>
      </c:lineChart>
      <c:dateAx>
        <c:axId val="1066381744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462000"/>
        <c:crosses val="autoZero"/>
        <c:auto val="1"/>
        <c:lblOffset val="100"/>
        <c:baseTimeUnit val="months"/>
      </c:dateAx>
      <c:valAx>
        <c:axId val="1527462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6381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1F374E"/>
                </a:solidFill>
                <a:latin typeface="Aptos Display" panose="020B0004020202020204" pitchFamily="34" charset="0"/>
                <a:ea typeface="+mn-ea"/>
                <a:cs typeface="+mn-cs"/>
              </a:defRPr>
            </a:pPr>
            <a:r>
              <a:rPr lang="en-US" b="1">
                <a:solidFill>
                  <a:srgbClr val="1F374E"/>
                </a:solidFill>
                <a:latin typeface="Aptos Display" panose="020B0004020202020204" pitchFamily="34" charset="0"/>
              </a:rPr>
              <a:t>Staff</a:t>
            </a:r>
            <a:r>
              <a:rPr lang="en-US" b="1" baseline="0">
                <a:solidFill>
                  <a:srgbClr val="1F374E"/>
                </a:solidFill>
                <a:latin typeface="Aptos Display" panose="020B0004020202020204" pitchFamily="34" charset="0"/>
              </a:rPr>
              <a:t> Caseload vs Capacity</a:t>
            </a:r>
          </a:p>
        </c:rich>
      </c:tx>
      <c:layout>
        <c:manualLayout>
          <c:xMode val="edge"/>
          <c:yMode val="edge"/>
          <c:x val="0.24422773443225276"/>
          <c:y val="3.12674428542638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1F374E"/>
              </a:solidFill>
              <a:latin typeface="Aptos Display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Metrics!$U$1</c:f>
              <c:strCache>
                <c:ptCount val="1"/>
                <c:pt idx="0">
                  <c:v>Open Clients</c:v>
                </c:pt>
              </c:strCache>
            </c:strRef>
          </c:tx>
          <c:spPr>
            <a:solidFill>
              <a:srgbClr val="2E5F8A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Metrics!$T$2:$T$15</c:f>
              <c:strCache>
                <c:ptCount val="14"/>
                <c:pt idx="0">
                  <c:v>Ethan Brooks</c:v>
                </c:pt>
                <c:pt idx="1">
                  <c:v>Sofia Ramirez</c:v>
                </c:pt>
                <c:pt idx="2">
                  <c:v>Aisha Patel</c:v>
                </c:pt>
                <c:pt idx="3">
                  <c:v>Marcus Reed</c:v>
                </c:pt>
                <c:pt idx="4">
                  <c:v>Lauren Bennett</c:v>
                </c:pt>
                <c:pt idx="5">
                  <c:v>Noah Williams</c:v>
                </c:pt>
                <c:pt idx="6">
                  <c:v>Chloe Nguyen</c:v>
                </c:pt>
                <c:pt idx="7">
                  <c:v>Gabriel Martinez</c:v>
                </c:pt>
                <c:pt idx="8">
                  <c:v>Hannah Lee</c:v>
                </c:pt>
                <c:pt idx="9">
                  <c:v>Jordan Price</c:v>
                </c:pt>
                <c:pt idx="10">
                  <c:v>Priya Shah</c:v>
                </c:pt>
                <c:pt idx="11">
                  <c:v>Caleb Foster</c:v>
                </c:pt>
                <c:pt idx="12">
                  <c:v>Isaac Robinson</c:v>
                </c:pt>
                <c:pt idx="13">
                  <c:v>Elena Garcia</c:v>
                </c:pt>
              </c:strCache>
            </c:strRef>
          </c:cat>
          <c:val>
            <c:numRef>
              <c:f>Metrics!$U$2:$U$15</c:f>
              <c:numCache>
                <c:formatCode>General</c:formatCode>
                <c:ptCount val="14"/>
                <c:pt idx="0">
                  <c:v>15</c:v>
                </c:pt>
                <c:pt idx="1">
                  <c:v>19</c:v>
                </c:pt>
                <c:pt idx="2">
                  <c:v>20</c:v>
                </c:pt>
                <c:pt idx="3">
                  <c:v>13</c:v>
                </c:pt>
                <c:pt idx="4">
                  <c:v>16</c:v>
                </c:pt>
                <c:pt idx="5">
                  <c:v>10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14</c:v>
                </c:pt>
                <c:pt idx="10">
                  <c:v>12</c:v>
                </c:pt>
                <c:pt idx="11">
                  <c:v>14</c:v>
                </c:pt>
                <c:pt idx="12">
                  <c:v>9</c:v>
                </c:pt>
                <c:pt idx="13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2D-41AE-A4FE-375155BD633F}"/>
            </c:ext>
          </c:extLst>
        </c:ser>
        <c:ser>
          <c:idx val="1"/>
          <c:order val="1"/>
          <c:tx>
            <c:strRef>
              <c:f>Metrics!$V$1</c:f>
              <c:strCache>
                <c:ptCount val="1"/>
                <c:pt idx="0">
                  <c:v>Capacity</c:v>
                </c:pt>
              </c:strCache>
            </c:strRef>
          </c:tx>
          <c:spPr>
            <a:solidFill>
              <a:srgbClr val="BEC6CF"/>
            </a:solidFill>
            <a:ln>
              <a:noFill/>
            </a:ln>
            <a:effectLst/>
          </c:spPr>
          <c:invertIfNegative val="0"/>
          <c:cat>
            <c:strRef>
              <c:f>Metrics!$T$2:$T$15</c:f>
              <c:strCache>
                <c:ptCount val="14"/>
                <c:pt idx="0">
                  <c:v>Ethan Brooks</c:v>
                </c:pt>
                <c:pt idx="1">
                  <c:v>Sofia Ramirez</c:v>
                </c:pt>
                <c:pt idx="2">
                  <c:v>Aisha Patel</c:v>
                </c:pt>
                <c:pt idx="3">
                  <c:v>Marcus Reed</c:v>
                </c:pt>
                <c:pt idx="4">
                  <c:v>Lauren Bennett</c:v>
                </c:pt>
                <c:pt idx="5">
                  <c:v>Noah Williams</c:v>
                </c:pt>
                <c:pt idx="6">
                  <c:v>Chloe Nguyen</c:v>
                </c:pt>
                <c:pt idx="7">
                  <c:v>Gabriel Martinez</c:v>
                </c:pt>
                <c:pt idx="8">
                  <c:v>Hannah Lee</c:v>
                </c:pt>
                <c:pt idx="9">
                  <c:v>Jordan Price</c:v>
                </c:pt>
                <c:pt idx="10">
                  <c:v>Priya Shah</c:v>
                </c:pt>
                <c:pt idx="11">
                  <c:v>Caleb Foster</c:v>
                </c:pt>
                <c:pt idx="12">
                  <c:v>Isaac Robinson</c:v>
                </c:pt>
                <c:pt idx="13">
                  <c:v>Elena Garcia</c:v>
                </c:pt>
              </c:strCache>
            </c:strRef>
          </c:cat>
          <c:val>
            <c:numRef>
              <c:f>Metrics!$V$2:$V$15</c:f>
              <c:numCache>
                <c:formatCode>General</c:formatCode>
                <c:ptCount val="14"/>
                <c:pt idx="0">
                  <c:v>22</c:v>
                </c:pt>
                <c:pt idx="1">
                  <c:v>28</c:v>
                </c:pt>
                <c:pt idx="2">
                  <c:v>20</c:v>
                </c:pt>
                <c:pt idx="3">
                  <c:v>25</c:v>
                </c:pt>
                <c:pt idx="4">
                  <c:v>15</c:v>
                </c:pt>
                <c:pt idx="5">
                  <c:v>30</c:v>
                </c:pt>
                <c:pt idx="6">
                  <c:v>30</c:v>
                </c:pt>
                <c:pt idx="7">
                  <c:v>18</c:v>
                </c:pt>
                <c:pt idx="8">
                  <c:v>22</c:v>
                </c:pt>
                <c:pt idx="9">
                  <c:v>15</c:v>
                </c:pt>
                <c:pt idx="10">
                  <c:v>26</c:v>
                </c:pt>
                <c:pt idx="11">
                  <c:v>26</c:v>
                </c:pt>
                <c:pt idx="12">
                  <c:v>18</c:v>
                </c:pt>
                <c:pt idx="13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2D-41AE-A4FE-375155BD633F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0"/>
          <c:showBubbleSize val="0"/>
        </c:dLbls>
        <c:gapWidth val="65"/>
        <c:axId val="1695894880"/>
        <c:axId val="1527476880"/>
      </c:barChart>
      <c:catAx>
        <c:axId val="169589488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476880"/>
        <c:crosses val="autoZero"/>
        <c:auto val="1"/>
        <c:lblAlgn val="ctr"/>
        <c:lblOffset val="100"/>
        <c:noMultiLvlLbl val="0"/>
      </c:catAx>
      <c:valAx>
        <c:axId val="1527476880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900">
                    <a:solidFill>
                      <a:schemeClr val="bg2">
                        <a:lumMod val="25000"/>
                      </a:schemeClr>
                    </a:solidFill>
                  </a:rPr>
                  <a:t>Clients</a:t>
                </a:r>
              </a:p>
              <a:p>
                <a:pPr>
                  <a:defRPr/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89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16</xdr:row>
      <xdr:rowOff>14287</xdr:rowOff>
    </xdr:from>
    <xdr:to>
      <xdr:col>9</xdr:col>
      <xdr:colOff>104775</xdr:colOff>
      <xdr:row>31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198814-3B4E-38D9-2606-7FA6CE4D99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128587</xdr:colOff>
      <xdr:row>16</xdr:row>
      <xdr:rowOff>9525</xdr:rowOff>
    </xdr:from>
    <xdr:to>
      <xdr:col>14</xdr:col>
      <xdr:colOff>771525</xdr:colOff>
      <xdr:row>31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8597022-94B1-7C08-6BEC-0D19A04EA3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4761</xdr:colOff>
      <xdr:row>33</xdr:row>
      <xdr:rowOff>166687</xdr:rowOff>
    </xdr:from>
    <xdr:to>
      <xdr:col>9</xdr:col>
      <xdr:colOff>104774</xdr:colOff>
      <xdr:row>48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92F14C9-1260-C2D0-5D13-FC51DF61EA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119062</xdr:colOff>
      <xdr:row>33</xdr:row>
      <xdr:rowOff>166685</xdr:rowOff>
    </xdr:from>
    <xdr:to>
      <xdr:col>15</xdr:col>
      <xdr:colOff>66675</xdr:colOff>
      <xdr:row>61</xdr:row>
      <xdr:rowOff>66675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55D0375-0239-1F89-8F5B-2ABD1EEF2F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26988250-9D36-4EB3-92BC-4C85C432CC1C}" autoFormatId="16" applyNumberFormats="0" applyBorderFormats="0" applyFontFormats="0" applyPatternFormats="0" applyAlignmentFormats="0" applyWidthHeightFormats="0">
  <queryTableRefresh nextId="6">
    <queryTableFields count="5">
      <queryTableField id="1" name="ProgramID" tableColumnId="1"/>
      <queryTableField id="2" name="Program Name" tableColumnId="2"/>
      <queryTableField id="3" name="Contact Target" tableColumnId="3"/>
      <queryTableField id="4" name="Inactive Threshold" tableColumnId="4"/>
      <queryTableField id="5" name="Status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890003C-3A38-4BDF-9BC7-DB7AA91E54C0}" autoFormatId="16" applyNumberFormats="0" applyBorderFormats="0" applyFontFormats="0" applyPatternFormats="0" applyAlignmentFormats="0" applyWidthHeightFormats="0">
  <queryTableRefresh nextId="12">
    <queryTableFields count="11">
      <queryTableField id="1" name="ClientID" tableColumnId="1"/>
      <queryTableField id="2" name="FirstName" tableColumnId="2"/>
      <queryTableField id="3" name="LastName" tableColumnId="3"/>
      <queryTableField id="4" name="DateOfBirth" tableColumnId="4"/>
      <queryTableField id="5" name="EnrollmentDate" tableColumnId="5"/>
      <queryTableField id="6" name="ProgramID" tableColumnId="6"/>
      <queryTableField id="7" name="AssignedStaffID" tableColumnId="7"/>
      <queryTableField id="8" name="ClientStatus" tableColumnId="8"/>
      <queryTableField id="9" name="BaseRiskLevel" tableColumnId="9"/>
      <queryTableField id="10" name="ExitDate" tableColumnId="10"/>
      <queryTableField id="11" name="ExitReason" tableColumnId="1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24A9B087-8BDE-4FCE-B4CC-7587E8D7E2E1}" autoFormatId="16" applyNumberFormats="0" applyBorderFormats="0" applyFontFormats="0" applyPatternFormats="0" applyAlignmentFormats="0" applyWidthHeightFormats="0">
  <queryTableRefresh nextId="10">
    <queryTableFields count="9">
      <queryTableField id="1" name="ContactID" tableColumnId="1"/>
      <queryTableField id="2" name="ClientID" tableColumnId="2"/>
      <queryTableField id="3" name="StaffID" tableColumnId="3"/>
      <queryTableField id="4" name="ContactDate" tableColumnId="4"/>
      <queryTableField id="5" name="ContactType" tableColumnId="5"/>
      <queryTableField id="6" name="ContactOutcome" tableColumnId="6"/>
      <queryTableField id="7" name="ContactDurationMinutes" tableColumnId="7"/>
      <queryTableField id="8" name="FollowUpDate" tableColumnId="8"/>
      <queryTableField id="9" name="ContactNotesCategory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" xr16:uid="{DED08223-34F8-43CA-9E9C-BC276DB87959}" autoFormatId="16" applyNumberFormats="0" applyBorderFormats="0" applyFontFormats="0" applyPatternFormats="0" applyAlignmentFormats="0" applyWidthHeightFormats="0">
  <queryTableRefresh nextId="22">
    <queryTableFields count="21">
      <queryTableField id="1" name="ClientID" tableColumnId="1"/>
      <queryTableField id="2" name="FirstName" tableColumnId="2"/>
      <queryTableField id="3" name="LastName" tableColumnId="3"/>
      <queryTableField id="4" name="DateOfBirth" tableColumnId="4"/>
      <queryTableField id="5" name="EnrollmentDate" tableColumnId="5"/>
      <queryTableField id="6" name="ProgramID" tableColumnId="6"/>
      <queryTableField id="7" name="AssignedStaffID" tableColumnId="7"/>
      <queryTableField id="8" name="ClientStatus" tableColumnId="8"/>
      <queryTableField id="9" name="BaseRiskLevel" tableColumnId="9"/>
      <queryTableField id="10" name="ExitDate" tableColumnId="10"/>
      <queryTableField id="11" name="ExitReason" tableColumnId="11"/>
      <queryTableField id="12" name="LatestSuccessfulContact" tableColumnId="12"/>
      <queryTableField id="13" name="SuccessfulContactCount" tableColumnId="13"/>
      <queryTableField id="14" name="ContactCount" tableColumnId="14"/>
      <queryTableField id="15" name="DaysSinceContact" tableColumnId="15"/>
      <queryTableField id="16" name="Contact Target" tableColumnId="16"/>
      <queryTableField id="17" name="Inactive Threshold" tableColumnId="17"/>
      <queryTableField id="18" name="FollowUpRequired" tableColumnId="18"/>
      <queryTableField id="19" name="ApproachingInactivity" tableColumnId="19"/>
      <queryTableField id="20" name="NeedsInactivityReview" tableColumnId="20"/>
      <queryTableField id="21" name="OperationalPriority" tableColumnId="2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8" xr16:uid="{8332B283-A4FA-4ACA-BEEF-A38E53575789}" autoFormatId="16" applyNumberFormats="0" applyBorderFormats="0" applyFontFormats="0" applyPatternFormats="0" applyAlignmentFormats="0" applyWidthHeightFormats="0">
  <queryTableRefresh nextId="11">
    <queryTableFields count="10">
      <queryTableField id="1" name="ClientID" tableColumnId="1"/>
      <queryTableField id="2" name="FirstName" tableColumnId="2"/>
      <queryTableField id="3" name="LastName" tableColumnId="3"/>
      <queryTableField id="4" name="AssignedStaffID" tableColumnId="4"/>
      <queryTableField id="5" name="ProgramID" tableColumnId="5"/>
      <queryTableField id="6" name="DaysSinceContact" tableColumnId="6"/>
      <queryTableField id="7" name="OperationalPriority" tableColumnId="7"/>
      <queryTableField id="8" name="BaseRiskLevel" tableColumnId="8"/>
      <queryTableField id="9" name="FollowUpRequired" tableColumnId="9"/>
      <queryTableField id="10" name="NeedsInactivityReview" tableColumnId="10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7898A34-6FFC-4F64-99CF-EB155845161D}" name="Table5" displayName="Table5" ref="A1:C7" totalsRowShown="0">
  <autoFilter ref="A1:C7" xr:uid="{27898A34-6FFC-4F64-99CF-EB155845161D}"/>
  <tableColumns count="3">
    <tableColumn id="1" xr3:uid="{D98133DC-1955-4EDE-98F7-4857D6691B5D}" name="Setting" dataDxfId="28"/>
    <tableColumn id="2" xr3:uid="{C472C2CA-7511-4D46-91F2-DFD764571DA5}" name="Value" dataDxfId="27"/>
    <tableColumn id="3" xr3:uid="{62A9F551-0E36-4944-A774-500497612FD6}" name="Description" dataDxfId="2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40864A7-F230-40CE-8F4B-0DC9A4EEDD33}" name="tblPrograms" displayName="tblPrograms" ref="A1:E7" tableType="queryTable" totalsRowShown="0">
  <autoFilter ref="A1:E7" xr:uid="{D40864A7-F230-40CE-8F4B-0DC9A4EEDD33}"/>
  <tableColumns count="5">
    <tableColumn id="1" xr3:uid="{2DD6D07C-9BFC-4E9E-9549-C147AAF33E4E}" uniqueName="1" name="ProgramID" queryTableFieldId="1"/>
    <tableColumn id="2" xr3:uid="{2D974582-FA95-4298-82D4-651608C7035C}" uniqueName="2" name="Program Name" queryTableFieldId="2" dataDxfId="25"/>
    <tableColumn id="3" xr3:uid="{CF8DAF75-9C36-4E1C-866F-DAEE7E6CFC72}" uniqueName="3" name="Contact Target" queryTableFieldId="3"/>
    <tableColumn id="4" xr3:uid="{57D10DF1-EE67-460C-8030-988DC4630384}" uniqueName="4" name="Inactive Threshold" queryTableFieldId="4"/>
    <tableColumn id="5" xr3:uid="{E83E67CB-29C6-420C-9337-9F7A3EA006B8}" uniqueName="5" name="Status" queryTableFieldId="5" dataDxfId="2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68C34B-1820-43CD-BA4F-7970581DC8C6}" name="tblStaff" displayName="tblStaff" ref="A1:F19" totalsRowShown="0">
  <autoFilter ref="A1:F19" xr:uid="{B768C34B-1820-43CD-BA4F-7970581DC8C6}"/>
  <tableColumns count="6">
    <tableColumn id="1" xr3:uid="{B09DE56D-2CC2-48F2-AA3B-2938B9D96E5D}" name="StaffID"/>
    <tableColumn id="2" xr3:uid="{5BA0C41E-8848-458F-8981-19694FFB6EED}" name="Staff Name"/>
    <tableColumn id="3" xr3:uid="{13275186-3F41-4ABE-8B64-29A83AFC5474}" name="Job Title"/>
    <tableColumn id="4" xr3:uid="{86B1AD3B-A650-46D3-ABA2-63B68B690F04}" name="ProgramID"/>
    <tableColumn id="5" xr3:uid="{B4E37575-85D8-4BE9-BD84-6A73152F993D}" name="Capacity Target"/>
    <tableColumn id="6" xr3:uid="{0BD2EF7C-00D2-4EFA-A315-F0DD46095A40}" name="Employment 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86B312D-576E-4BE1-BD76-DC4C03327CEA}" name="tblClients" displayName="tblClients" ref="A1:K251" tableType="queryTable" totalsRowShown="0">
  <autoFilter ref="A1:K251" xr:uid="{B86B312D-576E-4BE1-BD76-DC4C03327CEA}"/>
  <tableColumns count="11">
    <tableColumn id="1" xr3:uid="{9C6B87E1-8BB5-4A75-9B3C-B28577C44306}" uniqueName="1" name="ClientID" queryTableFieldId="1"/>
    <tableColumn id="2" xr3:uid="{E203690F-A2A9-485D-92AC-DBA01D23AE05}" uniqueName="2" name="FirstName" queryTableFieldId="2" dataDxfId="23"/>
    <tableColumn id="3" xr3:uid="{3CFB6CBA-305B-4509-8B89-640A421E5C7D}" uniqueName="3" name="LastName" queryTableFieldId="3" dataDxfId="22"/>
    <tableColumn id="4" xr3:uid="{D6413BF4-E7C9-44FE-BA21-840311F86833}" uniqueName="4" name="DateOfBirth" queryTableFieldId="4" dataDxfId="9"/>
    <tableColumn id="5" xr3:uid="{EC171F66-E8E8-4677-963B-E817B0DF414A}" uniqueName="5" name="EnrollmentDate" queryTableFieldId="5" dataDxfId="8"/>
    <tableColumn id="6" xr3:uid="{9B9D661F-654E-4A66-A20B-276C4EE1F9B0}" uniqueName="6" name="ProgramID" queryTableFieldId="6"/>
    <tableColumn id="7" xr3:uid="{F78F0B8A-FE7B-4014-A4E7-C3426976217C}" uniqueName="7" name="AssignedStaffID" queryTableFieldId="7"/>
    <tableColumn id="8" xr3:uid="{4C6914EE-8004-4AE3-AEF1-2360C07668C9}" uniqueName="8" name="ClientStatus" queryTableFieldId="8" dataDxfId="21"/>
    <tableColumn id="9" xr3:uid="{F9DD199A-2057-4FBA-859A-46B24682F012}" uniqueName="9" name="BaseRiskLevel" queryTableFieldId="9" dataDxfId="20"/>
    <tableColumn id="10" xr3:uid="{52446016-85E3-4B0C-9FCE-6F832315860A}" uniqueName="10" name="ExitDate" queryTableFieldId="10" dataDxfId="7"/>
    <tableColumn id="11" xr3:uid="{90CB0CDC-4688-4055-8247-8E256D936874}" uniqueName="11" name="ExitReason" queryTableFieldId="11" dataDxfId="19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7EBD362-51B4-40D8-81EC-B1934B8C4D53}" name="tblContacts" displayName="tblContacts" ref="A1:I2924" tableType="queryTable" totalsRowShown="0">
  <autoFilter ref="A1:I2924" xr:uid="{87EBD362-51B4-40D8-81EC-B1934B8C4D53}"/>
  <tableColumns count="9">
    <tableColumn id="1" xr3:uid="{6A0D229E-0F53-4A78-9CC7-93C19B63559E}" uniqueName="1" name="ContactID" queryTableFieldId="1"/>
    <tableColumn id="2" xr3:uid="{2A9B0BF5-F494-47C3-B86F-7DDEDC0DE4C4}" uniqueName="2" name="ClientID" queryTableFieldId="2"/>
    <tableColumn id="3" xr3:uid="{0819E503-D9DD-4814-959A-96C8738063D7}" uniqueName="3" name="StaffID" queryTableFieldId="3"/>
    <tableColumn id="4" xr3:uid="{504B9998-8017-40FD-AE90-79008B644F29}" uniqueName="4" name="ContactDate" queryTableFieldId="4" dataDxfId="0"/>
    <tableColumn id="5" xr3:uid="{06581E70-20EE-48A9-A16A-75F8A15AE7F2}" uniqueName="5" name="ContactType" queryTableFieldId="5" dataDxfId="1"/>
    <tableColumn id="6" xr3:uid="{F10DBBA1-D570-4FFA-9CA5-A9A5393D9ED9}" uniqueName="6" name="ContactOutcome" queryTableFieldId="6" dataDxfId="18"/>
    <tableColumn id="7" xr3:uid="{E727FF8A-01FA-4B29-9DBB-62958EC35723}" uniqueName="7" name="ContactDurationMinutes" queryTableFieldId="7"/>
    <tableColumn id="8" xr3:uid="{1E176DA4-21A5-4D47-BE9E-35C42518E473}" uniqueName="8" name="FollowUpDate" queryTableFieldId="8" dataDxfId="6"/>
    <tableColumn id="9" xr3:uid="{5235AC37-B6CA-4AEA-ADC7-3A0C2876536F}" uniqueName="9" name="ContactNotesCategory" queryTableFieldId="9" dataDxfId="1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9F16169-A70F-41AB-97CC-2E26BD7DE916}" name="tblClientSummary" displayName="tblClientSummary" ref="A1:U251" tableType="queryTable" totalsRowShown="0">
  <autoFilter ref="A1:U251" xr:uid="{C9F16169-A70F-41AB-97CC-2E26BD7DE916}"/>
  <tableColumns count="21">
    <tableColumn id="1" xr3:uid="{9DED620E-21A6-46E1-9F9F-E0B8EEFF279E}" uniqueName="1" name="ClientID" queryTableFieldId="1"/>
    <tableColumn id="2" xr3:uid="{A78F46DE-CF5C-44AF-9180-728A8B89C0DE}" uniqueName="2" name="FirstName" queryTableFieldId="2" dataDxfId="16"/>
    <tableColumn id="3" xr3:uid="{A9979A8F-C6AB-45CA-8CE2-BE0F4741987E}" uniqueName="3" name="LastName" queryTableFieldId="3" dataDxfId="15"/>
    <tableColumn id="4" xr3:uid="{4410132D-D660-4D19-96CE-97882A6A56BA}" uniqueName="4" name="DateOfBirth" queryTableFieldId="4" dataDxfId="5"/>
    <tableColumn id="5" xr3:uid="{33A0F846-8D40-4311-8E70-3555F48607D8}" uniqueName="5" name="EnrollmentDate" queryTableFieldId="5" dataDxfId="4"/>
    <tableColumn id="6" xr3:uid="{A62B7B08-0F2F-4ECE-9DC6-E27C4B310ED3}" uniqueName="6" name="ProgramID" queryTableFieldId="6"/>
    <tableColumn id="7" xr3:uid="{E173C9D6-F403-4581-94CF-647CDCF9A028}" uniqueName="7" name="AssignedStaffID" queryTableFieldId="7"/>
    <tableColumn id="8" xr3:uid="{C1F80D47-080F-428E-B802-C5F6CD543F17}" uniqueName="8" name="ClientStatus" queryTableFieldId="8" dataDxfId="14"/>
    <tableColumn id="9" xr3:uid="{EFA26729-058C-43A8-920B-FD85249E0CDF}" uniqueName="9" name="BaseRiskLevel" queryTableFieldId="9" dataDxfId="13"/>
    <tableColumn id="10" xr3:uid="{3555D89F-D3D2-4AD3-A8D8-4F1275EA70D5}" uniqueName="10" name="ExitDate" queryTableFieldId="10" dataDxfId="3"/>
    <tableColumn id="11" xr3:uid="{6E61399B-195C-4F71-859B-BF68F67A5BD7}" uniqueName="11" name="ExitReason" queryTableFieldId="11" dataDxfId="12"/>
    <tableColumn id="12" xr3:uid="{2F8745FA-972A-4279-B1B2-EF5FB7762B66}" uniqueName="12" name="LatestSuccessfulContact" queryTableFieldId="12" dataDxfId="2"/>
    <tableColumn id="13" xr3:uid="{A936542D-94A3-4E48-85D6-4000F2D0E040}" uniqueName="13" name="SuccessfulContactCount" queryTableFieldId="13"/>
    <tableColumn id="14" xr3:uid="{6E319A68-CC2F-41AC-9F20-3148A5007012}" uniqueName="14" name="ContactCount" queryTableFieldId="14"/>
    <tableColumn id="15" xr3:uid="{77E9EEA1-0715-4377-AC39-D60D4ACEDC66}" uniqueName="15" name="DaysSinceContact" queryTableFieldId="15"/>
    <tableColumn id="16" xr3:uid="{D4AC8571-4BA3-41AB-A066-B6BFFC384ED4}" uniqueName="16" name="Contact Target" queryTableFieldId="16"/>
    <tableColumn id="17" xr3:uid="{13D831FE-E52B-44E3-A817-BADE2DA54302}" uniqueName="17" name="Inactive Threshold" queryTableFieldId="17"/>
    <tableColumn id="18" xr3:uid="{8DFCD1A3-09F3-46E9-A10A-E6375D88B064}" uniqueName="18" name="FollowUpRequired" queryTableFieldId="18" dataDxfId="11"/>
    <tableColumn id="19" xr3:uid="{FE8AA211-7FD2-4AEC-BA68-98FD65AA7A56}" uniqueName="19" name="ApproachingInactivity" queryTableFieldId="19" dataDxfId="10"/>
    <tableColumn id="20" xr3:uid="{1EF5EF8E-30EF-4143-86B7-541FCBDFB4F2}" uniqueName="20" name="NeedsInactivityReview" queryTableFieldId="20"/>
    <tableColumn id="21" xr3:uid="{25D8F41A-0658-4553-AFEB-D0029013CB54}" uniqueName="21" name="OperationalPriority" queryTableFieldId="2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EA3D277-0B73-40F9-B5C0-9306B64ED8AC}" name="tblPriorityQueue" displayName="tblPriorityQueue" ref="A1:J104" tableType="queryTable" totalsRowShown="0">
  <autoFilter ref="A1:J104" xr:uid="{AEA3D277-0B73-40F9-B5C0-9306B64ED8AC}"/>
  <tableColumns count="10">
    <tableColumn id="1" xr3:uid="{6E8CF93E-839B-44F4-A00A-188F04E22CFB}" uniqueName="1" name="ClientID" queryTableFieldId="1"/>
    <tableColumn id="2" xr3:uid="{5F82AFC1-8EA5-4DC3-BC34-00004EFF0D71}" uniqueName="2" name="FirstName" queryTableFieldId="2" dataDxfId="32"/>
    <tableColumn id="3" xr3:uid="{F3F5BCC5-2180-4644-8AA9-451FBE2B76EF}" uniqueName="3" name="LastName" queryTableFieldId="3" dataDxfId="31"/>
    <tableColumn id="4" xr3:uid="{D90D4A04-5479-42A9-BC1E-8A577CD4E7A2}" uniqueName="4" name="AssignedStaffID" queryTableFieldId="4"/>
    <tableColumn id="5" xr3:uid="{20552503-B584-4B0F-B173-AF8AF85A1E6D}" uniqueName="5" name="ProgramID" queryTableFieldId="5"/>
    <tableColumn id="6" xr3:uid="{AFD6BDB5-69E9-4558-970D-0E15B4910B51}" uniqueName="6" name="DaysSinceContact" queryTableFieldId="6"/>
    <tableColumn id="7" xr3:uid="{57292106-079E-427B-9D54-208007E11BA7}" uniqueName="7" name="OperationalPriority" queryTableFieldId="7"/>
    <tableColumn id="8" xr3:uid="{59AEA85C-CC9C-4C11-B83A-F6335CB2D2EC}" uniqueName="8" name="BaseRiskLevel" queryTableFieldId="8" dataDxfId="30"/>
    <tableColumn id="9" xr3:uid="{3F1AE53D-D4C3-4F65-A2C6-6AA40B561F65}" uniqueName="9" name="FollowUpRequired" queryTableFieldId="9" dataDxfId="29"/>
    <tableColumn id="10" xr3:uid="{1205A5E3-84A3-4377-9CEE-1CBCA290E629}" uniqueName="10" name="NeedsInactivityReview" queryTableField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D00CD-500B-448B-83A9-F5D1FC827A71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13E8C-C29F-44D1-8D78-A05F4D7EC732}">
  <dimension ref="A1:C7"/>
  <sheetViews>
    <sheetView workbookViewId="0">
      <selection activeCell="E3" sqref="E3"/>
    </sheetView>
  </sheetViews>
  <sheetFormatPr defaultRowHeight="15"/>
  <cols>
    <col min="1" max="1" width="11.85546875" bestFit="1" customWidth="1"/>
    <col min="3" max="3" width="15.7109375" bestFit="1" customWidth="1"/>
  </cols>
  <sheetData>
    <row r="1" spans="1:3">
      <c r="A1" s="1" t="s">
        <v>0</v>
      </c>
      <c r="B1" s="3" t="s">
        <v>1</v>
      </c>
      <c r="C1" s="1" t="s">
        <v>2</v>
      </c>
    </row>
    <row r="2" spans="1:3" ht="45">
      <c r="A2" s="4" t="s">
        <v>3</v>
      </c>
      <c r="B2" s="5">
        <f ca="1">TODAY()</f>
        <v>46214</v>
      </c>
      <c r="C2" s="4" t="s">
        <v>4</v>
      </c>
    </row>
    <row r="3" spans="1:3" ht="45">
      <c r="A3" s="4" t="s">
        <v>5</v>
      </c>
      <c r="B3" s="2">
        <v>30</v>
      </c>
      <c r="C3" s="4" t="s">
        <v>6</v>
      </c>
    </row>
    <row r="4" spans="1:3" ht="45">
      <c r="A4" s="4" t="s">
        <v>7</v>
      </c>
      <c r="B4" s="2">
        <v>90</v>
      </c>
      <c r="C4" s="4" t="s">
        <v>8</v>
      </c>
    </row>
    <row r="5" spans="1:3" ht="45">
      <c r="A5" s="4" t="s">
        <v>9</v>
      </c>
      <c r="B5" s="6">
        <v>0.75</v>
      </c>
      <c r="C5" s="4" t="s">
        <v>10</v>
      </c>
    </row>
    <row r="6" spans="1:3" ht="45">
      <c r="A6" s="4" t="s">
        <v>11</v>
      </c>
      <c r="B6" s="2">
        <v>80</v>
      </c>
      <c r="C6" s="4" t="s">
        <v>12</v>
      </c>
    </row>
    <row r="7" spans="1:3" ht="45">
      <c r="A7" s="4" t="s">
        <v>13</v>
      </c>
      <c r="B7" s="2">
        <v>50</v>
      </c>
      <c r="C7" s="4" t="s">
        <v>14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D49B6-095C-4F52-B57E-4D9CFC259A97}">
  <dimension ref="A1:E7"/>
  <sheetViews>
    <sheetView workbookViewId="0"/>
  </sheetViews>
  <sheetFormatPr defaultRowHeight="15"/>
  <cols>
    <col min="1" max="1" width="12.5703125" bestFit="1" customWidth="1"/>
    <col min="2" max="2" width="29.28515625" bestFit="1" customWidth="1"/>
    <col min="3" max="3" width="16.140625" bestFit="1" customWidth="1"/>
    <col min="4" max="4" width="19.85546875" bestFit="1" customWidth="1"/>
    <col min="5" max="5" width="8.7109375" bestFit="1" customWidth="1"/>
  </cols>
  <sheetData>
    <row r="1" spans="1:5">
      <c r="A1" t="s">
        <v>15</v>
      </c>
      <c r="B1" t="s">
        <v>16</v>
      </c>
      <c r="C1" t="s">
        <v>17</v>
      </c>
      <c r="D1" t="s">
        <v>18</v>
      </c>
      <c r="E1" t="s">
        <v>19</v>
      </c>
    </row>
    <row r="2" spans="1:5">
      <c r="A2">
        <v>1001</v>
      </c>
      <c r="B2" t="s">
        <v>20</v>
      </c>
      <c r="C2">
        <v>30</v>
      </c>
      <c r="D2">
        <v>90</v>
      </c>
      <c r="E2" t="s">
        <v>21</v>
      </c>
    </row>
    <row r="3" spans="1:5">
      <c r="A3">
        <v>1002</v>
      </c>
      <c r="B3" t="s">
        <v>22</v>
      </c>
      <c r="C3">
        <v>14</v>
      </c>
      <c r="D3">
        <v>60</v>
      </c>
      <c r="E3" t="s">
        <v>21</v>
      </c>
    </row>
    <row r="4" spans="1:5">
      <c r="A4">
        <v>1003</v>
      </c>
      <c r="B4" t="s">
        <v>23</v>
      </c>
      <c r="C4">
        <v>30</v>
      </c>
      <c r="D4">
        <v>90</v>
      </c>
      <c r="E4" t="s">
        <v>21</v>
      </c>
    </row>
    <row r="5" spans="1:5">
      <c r="A5">
        <v>1004</v>
      </c>
      <c r="B5" t="s">
        <v>24</v>
      </c>
      <c r="C5">
        <v>14</v>
      </c>
      <c r="D5">
        <v>45</v>
      </c>
      <c r="E5" t="s">
        <v>21</v>
      </c>
    </row>
    <row r="6" spans="1:5">
      <c r="A6">
        <v>1005</v>
      </c>
      <c r="B6" t="s">
        <v>25</v>
      </c>
      <c r="C6">
        <v>21</v>
      </c>
      <c r="D6">
        <v>75</v>
      </c>
      <c r="E6" t="s">
        <v>21</v>
      </c>
    </row>
    <row r="7" spans="1:5">
      <c r="A7">
        <v>1006</v>
      </c>
      <c r="B7" t="s">
        <v>26</v>
      </c>
      <c r="C7">
        <v>30</v>
      </c>
      <c r="D7">
        <v>90</v>
      </c>
      <c r="E7" t="s">
        <v>21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58C37-E80B-4718-92CE-7A681E74B8BC}">
  <dimension ref="A1:F19"/>
  <sheetViews>
    <sheetView workbookViewId="0">
      <selection sqref="A1:F1"/>
    </sheetView>
  </sheetViews>
  <sheetFormatPr defaultRowHeight="15"/>
  <cols>
    <col min="1" max="1" width="9.28515625" bestFit="1" customWidth="1"/>
    <col min="2" max="2" width="13.140625" bestFit="1" customWidth="1"/>
    <col min="3" max="3" width="10.7109375" bestFit="1" customWidth="1"/>
    <col min="4" max="4" width="12.5703125" bestFit="1" customWidth="1"/>
    <col min="5" max="5" width="16.85546875" bestFit="1" customWidth="1"/>
    <col min="6" max="6" width="20.7109375" bestFit="1" customWidth="1"/>
  </cols>
  <sheetData>
    <row r="1" spans="1:6">
      <c r="A1" s="3" t="s">
        <v>27</v>
      </c>
      <c r="B1" s="1" t="s">
        <v>28</v>
      </c>
      <c r="C1" s="1" t="s">
        <v>29</v>
      </c>
      <c r="D1" s="3" t="s">
        <v>15</v>
      </c>
      <c r="E1" s="3" t="s">
        <v>30</v>
      </c>
      <c r="F1" s="1" t="s">
        <v>31</v>
      </c>
    </row>
    <row r="2" spans="1:6" ht="30">
      <c r="A2" s="2">
        <v>2001</v>
      </c>
      <c r="B2" s="4" t="s">
        <v>32</v>
      </c>
      <c r="C2" s="4" t="s">
        <v>33</v>
      </c>
      <c r="D2" s="2">
        <v>1001</v>
      </c>
      <c r="E2" s="2">
        <v>0</v>
      </c>
      <c r="F2" s="4" t="s">
        <v>21</v>
      </c>
    </row>
    <row r="3" spans="1:6" ht="45">
      <c r="A3" s="2">
        <v>2002</v>
      </c>
      <c r="B3" s="4" t="s">
        <v>34</v>
      </c>
      <c r="C3" s="4" t="s">
        <v>35</v>
      </c>
      <c r="D3" s="2">
        <v>1001</v>
      </c>
      <c r="E3" s="2">
        <v>22</v>
      </c>
      <c r="F3" s="4" t="s">
        <v>21</v>
      </c>
    </row>
    <row r="4" spans="1:6" ht="30">
      <c r="A4" s="2">
        <v>2003</v>
      </c>
      <c r="B4" s="4" t="s">
        <v>36</v>
      </c>
      <c r="C4" s="4" t="s">
        <v>37</v>
      </c>
      <c r="D4" s="2">
        <v>1001</v>
      </c>
      <c r="E4" s="2">
        <v>28</v>
      </c>
      <c r="F4" s="4" t="s">
        <v>21</v>
      </c>
    </row>
    <row r="5" spans="1:6" ht="30">
      <c r="A5" s="2">
        <v>2004</v>
      </c>
      <c r="B5" s="4" t="s">
        <v>38</v>
      </c>
      <c r="C5" s="4" t="s">
        <v>33</v>
      </c>
      <c r="D5" s="2">
        <v>1002</v>
      </c>
      <c r="E5" s="2">
        <v>0</v>
      </c>
      <c r="F5" s="4" t="s">
        <v>21</v>
      </c>
    </row>
    <row r="6" spans="1:6" ht="45">
      <c r="A6" s="2">
        <v>2005</v>
      </c>
      <c r="B6" s="4" t="s">
        <v>39</v>
      </c>
      <c r="C6" s="4" t="s">
        <v>35</v>
      </c>
      <c r="D6" s="2">
        <v>1002</v>
      </c>
      <c r="E6" s="2">
        <v>20</v>
      </c>
      <c r="F6" s="4" t="s">
        <v>21</v>
      </c>
    </row>
    <row r="7" spans="1:6" ht="30">
      <c r="A7" s="2">
        <v>2006</v>
      </c>
      <c r="B7" s="4" t="s">
        <v>40</v>
      </c>
      <c r="C7" s="4" t="s">
        <v>37</v>
      </c>
      <c r="D7" s="2">
        <v>1002</v>
      </c>
      <c r="E7" s="2">
        <v>25</v>
      </c>
      <c r="F7" s="4" t="s">
        <v>21</v>
      </c>
    </row>
    <row r="8" spans="1:6" ht="45">
      <c r="A8" s="2">
        <v>2007</v>
      </c>
      <c r="B8" s="4" t="s">
        <v>41</v>
      </c>
      <c r="C8" s="4" t="s">
        <v>42</v>
      </c>
      <c r="D8" s="2">
        <v>1003</v>
      </c>
      <c r="E8" s="2">
        <v>15</v>
      </c>
      <c r="F8" s="4" t="s">
        <v>21</v>
      </c>
    </row>
    <row r="9" spans="1:6" ht="30">
      <c r="A9" s="2">
        <v>2008</v>
      </c>
      <c r="B9" s="4" t="s">
        <v>43</v>
      </c>
      <c r="C9" s="4" t="s">
        <v>37</v>
      </c>
      <c r="D9" s="2">
        <v>1003</v>
      </c>
      <c r="E9" s="2">
        <v>30</v>
      </c>
      <c r="F9" s="4" t="s">
        <v>21</v>
      </c>
    </row>
    <row r="10" spans="1:6" ht="30">
      <c r="A10" s="2">
        <v>2009</v>
      </c>
      <c r="B10" s="4" t="s">
        <v>44</v>
      </c>
      <c r="C10" s="4" t="s">
        <v>37</v>
      </c>
      <c r="D10" s="2">
        <v>1003</v>
      </c>
      <c r="E10" s="2">
        <v>30</v>
      </c>
      <c r="F10" s="4" t="s">
        <v>21</v>
      </c>
    </row>
    <row r="11" spans="1:6" ht="30">
      <c r="A11" s="2">
        <v>2010</v>
      </c>
      <c r="B11" s="4" t="s">
        <v>45</v>
      </c>
      <c r="C11" s="4" t="s">
        <v>33</v>
      </c>
      <c r="D11" s="2">
        <v>1004</v>
      </c>
      <c r="E11" s="2">
        <v>0</v>
      </c>
      <c r="F11" s="4" t="s">
        <v>21</v>
      </c>
    </row>
    <row r="12" spans="1:6" ht="45">
      <c r="A12" s="2">
        <v>2011</v>
      </c>
      <c r="B12" s="4" t="s">
        <v>46</v>
      </c>
      <c r="C12" s="4" t="s">
        <v>35</v>
      </c>
      <c r="D12" s="2">
        <v>1004</v>
      </c>
      <c r="E12" s="2">
        <v>18</v>
      </c>
      <c r="F12" s="4" t="s">
        <v>21</v>
      </c>
    </row>
    <row r="13" spans="1:6" ht="30">
      <c r="A13" s="2">
        <v>2012</v>
      </c>
      <c r="B13" s="4" t="s">
        <v>47</v>
      </c>
      <c r="C13" s="4" t="s">
        <v>37</v>
      </c>
      <c r="D13" s="2">
        <v>1004</v>
      </c>
      <c r="E13" s="2">
        <v>22</v>
      </c>
      <c r="F13" s="4" t="s">
        <v>21</v>
      </c>
    </row>
    <row r="14" spans="1:6" ht="45">
      <c r="A14" s="2">
        <v>2013</v>
      </c>
      <c r="B14" s="4" t="s">
        <v>48</v>
      </c>
      <c r="C14" s="4" t="s">
        <v>42</v>
      </c>
      <c r="D14" s="2">
        <v>1005</v>
      </c>
      <c r="E14" s="2">
        <v>15</v>
      </c>
      <c r="F14" s="4" t="s">
        <v>21</v>
      </c>
    </row>
    <row r="15" spans="1:6" ht="30">
      <c r="A15" s="2">
        <v>2014</v>
      </c>
      <c r="B15" s="4" t="s">
        <v>49</v>
      </c>
      <c r="C15" s="4" t="s">
        <v>37</v>
      </c>
      <c r="D15" s="2">
        <v>1005</v>
      </c>
      <c r="E15" s="2">
        <v>26</v>
      </c>
      <c r="F15" s="4" t="s">
        <v>21</v>
      </c>
    </row>
    <row r="16" spans="1:6" ht="30">
      <c r="A16" s="2">
        <v>2015</v>
      </c>
      <c r="B16" s="4" t="s">
        <v>50</v>
      </c>
      <c r="C16" s="4" t="s">
        <v>37</v>
      </c>
      <c r="D16" s="2">
        <v>1005</v>
      </c>
      <c r="E16" s="2">
        <v>26</v>
      </c>
      <c r="F16" s="4" t="s">
        <v>21</v>
      </c>
    </row>
    <row r="17" spans="1:6" ht="30">
      <c r="A17" s="2">
        <v>2016</v>
      </c>
      <c r="B17" s="4" t="s">
        <v>51</v>
      </c>
      <c r="C17" s="4" t="s">
        <v>33</v>
      </c>
      <c r="D17" s="2">
        <v>1006</v>
      </c>
      <c r="E17" s="2">
        <v>0</v>
      </c>
      <c r="F17" s="4" t="s">
        <v>21</v>
      </c>
    </row>
    <row r="18" spans="1:6" ht="30">
      <c r="A18" s="2">
        <v>2017</v>
      </c>
      <c r="B18" s="4" t="s">
        <v>52</v>
      </c>
      <c r="C18" s="4" t="s">
        <v>53</v>
      </c>
      <c r="D18" s="2">
        <v>1006</v>
      </c>
      <c r="E18" s="2">
        <v>18</v>
      </c>
      <c r="F18" s="4" t="s">
        <v>21</v>
      </c>
    </row>
    <row r="19" spans="1:6" ht="30">
      <c r="A19" s="2">
        <v>2018</v>
      </c>
      <c r="B19" s="4" t="s">
        <v>54</v>
      </c>
      <c r="C19" s="4" t="s">
        <v>37</v>
      </c>
      <c r="D19" s="2">
        <v>1006</v>
      </c>
      <c r="E19" s="2">
        <v>28</v>
      </c>
      <c r="F19" s="4" t="s">
        <v>21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BF8CB-0639-41D2-BBFB-26A541411DE5}">
  <dimension ref="A1:K251"/>
  <sheetViews>
    <sheetView workbookViewId="0">
      <selection activeCell="E8" sqref="E8"/>
    </sheetView>
  </sheetViews>
  <sheetFormatPr defaultRowHeight="15"/>
  <cols>
    <col min="1" max="1" width="10.42578125" bestFit="1" customWidth="1"/>
    <col min="2" max="2" width="12.42578125" bestFit="1" customWidth="1"/>
    <col min="3" max="3" width="12" bestFit="1" customWidth="1"/>
    <col min="4" max="4" width="13.85546875" bestFit="1" customWidth="1"/>
    <col min="5" max="5" width="17.42578125" bestFit="1" customWidth="1"/>
    <col min="6" max="6" width="12.5703125" bestFit="1" customWidth="1"/>
    <col min="7" max="7" width="17.42578125" bestFit="1" customWidth="1"/>
    <col min="8" max="8" width="14" bestFit="1" customWidth="1"/>
    <col min="9" max="9" width="15.85546875" bestFit="1" customWidth="1"/>
    <col min="10" max="10" width="10.7109375" bestFit="1" customWidth="1"/>
    <col min="11" max="11" width="29.85546875" bestFit="1" customWidth="1"/>
  </cols>
  <sheetData>
    <row r="1" spans="1:11">
      <c r="A1" t="s">
        <v>55</v>
      </c>
      <c r="B1" t="s">
        <v>56</v>
      </c>
      <c r="C1" t="s">
        <v>57</v>
      </c>
      <c r="D1" t="s">
        <v>58</v>
      </c>
      <c r="E1" t="s">
        <v>59</v>
      </c>
      <c r="F1" t="s">
        <v>15</v>
      </c>
      <c r="G1" t="s">
        <v>60</v>
      </c>
      <c r="H1" t="s">
        <v>61</v>
      </c>
      <c r="I1" t="s">
        <v>62</v>
      </c>
      <c r="J1" t="s">
        <v>63</v>
      </c>
      <c r="K1" t="s">
        <v>64</v>
      </c>
    </row>
    <row r="2" spans="1:11">
      <c r="A2">
        <v>3001</v>
      </c>
      <c r="B2" t="s">
        <v>65</v>
      </c>
      <c r="C2" t="s">
        <v>66</v>
      </c>
      <c r="D2" s="7">
        <v>26153</v>
      </c>
      <c r="E2" s="7">
        <v>45404</v>
      </c>
      <c r="F2">
        <v>1006</v>
      </c>
      <c r="G2">
        <v>2017</v>
      </c>
      <c r="H2" t="s">
        <v>21</v>
      </c>
      <c r="I2" t="s">
        <v>67</v>
      </c>
      <c r="J2" s="7"/>
      <c r="K2" t="s">
        <v>68</v>
      </c>
    </row>
    <row r="3" spans="1:11">
      <c r="A3">
        <v>3002</v>
      </c>
      <c r="B3" t="s">
        <v>69</v>
      </c>
      <c r="C3" t="s">
        <v>70</v>
      </c>
      <c r="D3" s="7">
        <v>21909</v>
      </c>
      <c r="E3" s="7">
        <v>45566</v>
      </c>
      <c r="F3">
        <v>1006</v>
      </c>
      <c r="G3">
        <v>2017</v>
      </c>
      <c r="H3" t="s">
        <v>21</v>
      </c>
      <c r="I3" t="s">
        <v>67</v>
      </c>
      <c r="J3" s="7"/>
      <c r="K3" t="s">
        <v>68</v>
      </c>
    </row>
    <row r="4" spans="1:11">
      <c r="A4">
        <v>3003</v>
      </c>
      <c r="B4" t="s">
        <v>69</v>
      </c>
      <c r="C4" t="s">
        <v>71</v>
      </c>
      <c r="D4" s="7">
        <v>36695</v>
      </c>
      <c r="E4" s="7">
        <v>45978</v>
      </c>
      <c r="F4">
        <v>1005</v>
      </c>
      <c r="G4">
        <v>2013</v>
      </c>
      <c r="H4" t="s">
        <v>21</v>
      </c>
      <c r="I4" t="s">
        <v>72</v>
      </c>
      <c r="J4" s="7"/>
      <c r="K4" t="s">
        <v>68</v>
      </c>
    </row>
    <row r="5" spans="1:11">
      <c r="A5">
        <v>3004</v>
      </c>
      <c r="B5" t="s">
        <v>73</v>
      </c>
      <c r="C5" t="s">
        <v>74</v>
      </c>
      <c r="D5" s="7">
        <v>24070</v>
      </c>
      <c r="E5" s="7">
        <v>45984</v>
      </c>
      <c r="F5">
        <v>1005</v>
      </c>
      <c r="G5">
        <v>2014</v>
      </c>
      <c r="H5" t="s">
        <v>75</v>
      </c>
      <c r="I5" t="s">
        <v>67</v>
      </c>
      <c r="J5" s="7">
        <v>46078</v>
      </c>
      <c r="K5" t="s">
        <v>76</v>
      </c>
    </row>
    <row r="6" spans="1:11">
      <c r="A6">
        <v>3005</v>
      </c>
      <c r="B6" t="s">
        <v>77</v>
      </c>
      <c r="C6" t="s">
        <v>78</v>
      </c>
      <c r="D6" s="7">
        <v>30109</v>
      </c>
      <c r="E6" s="7">
        <v>45660</v>
      </c>
      <c r="F6">
        <v>1003</v>
      </c>
      <c r="G6">
        <v>2007</v>
      </c>
      <c r="H6" t="s">
        <v>21</v>
      </c>
      <c r="I6" t="s">
        <v>67</v>
      </c>
      <c r="J6" s="7"/>
      <c r="K6" t="s">
        <v>68</v>
      </c>
    </row>
    <row r="7" spans="1:11">
      <c r="A7">
        <v>3006</v>
      </c>
      <c r="B7" t="s">
        <v>79</v>
      </c>
      <c r="C7" t="s">
        <v>80</v>
      </c>
      <c r="D7" s="7">
        <v>31242</v>
      </c>
      <c r="E7" s="7">
        <v>45280</v>
      </c>
      <c r="F7">
        <v>1006</v>
      </c>
      <c r="G7">
        <v>2018</v>
      </c>
      <c r="H7" t="s">
        <v>21</v>
      </c>
      <c r="I7" t="s">
        <v>81</v>
      </c>
      <c r="J7" s="7"/>
      <c r="K7" t="s">
        <v>68</v>
      </c>
    </row>
    <row r="8" spans="1:11">
      <c r="A8">
        <v>3007</v>
      </c>
      <c r="B8" t="s">
        <v>82</v>
      </c>
      <c r="C8" t="s">
        <v>80</v>
      </c>
      <c r="D8" s="7">
        <v>20340</v>
      </c>
      <c r="E8" s="7">
        <v>45585</v>
      </c>
      <c r="F8">
        <v>1006</v>
      </c>
      <c r="G8">
        <v>2018</v>
      </c>
      <c r="H8" t="s">
        <v>21</v>
      </c>
      <c r="I8" t="s">
        <v>72</v>
      </c>
      <c r="J8" s="7"/>
      <c r="K8" t="s">
        <v>68</v>
      </c>
    </row>
    <row r="9" spans="1:11">
      <c r="A9">
        <v>3008</v>
      </c>
      <c r="B9" t="s">
        <v>83</v>
      </c>
      <c r="C9" t="s">
        <v>74</v>
      </c>
      <c r="D9" s="7">
        <v>33696</v>
      </c>
      <c r="E9" s="7">
        <v>45866</v>
      </c>
      <c r="F9">
        <v>1001</v>
      </c>
      <c r="G9">
        <v>2002</v>
      </c>
      <c r="H9" t="s">
        <v>75</v>
      </c>
      <c r="I9" t="s">
        <v>67</v>
      </c>
      <c r="J9" s="7">
        <v>45956</v>
      </c>
      <c r="K9" t="s">
        <v>76</v>
      </c>
    </row>
    <row r="10" spans="1:11">
      <c r="A10">
        <v>3009</v>
      </c>
      <c r="B10" t="s">
        <v>84</v>
      </c>
      <c r="C10" t="s">
        <v>85</v>
      </c>
      <c r="D10" s="7">
        <v>21178</v>
      </c>
      <c r="E10" s="7">
        <v>45469</v>
      </c>
      <c r="F10">
        <v>1006</v>
      </c>
      <c r="G10">
        <v>2018</v>
      </c>
      <c r="H10" t="s">
        <v>86</v>
      </c>
      <c r="I10" t="s">
        <v>72</v>
      </c>
      <c r="J10" s="7"/>
      <c r="K10" t="s">
        <v>68</v>
      </c>
    </row>
    <row r="11" spans="1:11">
      <c r="A11">
        <v>3010</v>
      </c>
      <c r="B11" t="s">
        <v>87</v>
      </c>
      <c r="C11" t="s">
        <v>88</v>
      </c>
      <c r="D11" s="7">
        <v>37089</v>
      </c>
      <c r="E11" s="7">
        <v>45568</v>
      </c>
      <c r="F11">
        <v>1002</v>
      </c>
      <c r="G11">
        <v>2005</v>
      </c>
      <c r="H11" t="s">
        <v>21</v>
      </c>
      <c r="I11" t="s">
        <v>67</v>
      </c>
      <c r="J11" s="7"/>
      <c r="K11" t="s">
        <v>68</v>
      </c>
    </row>
    <row r="12" spans="1:11">
      <c r="A12">
        <v>3011</v>
      </c>
      <c r="B12" t="s">
        <v>89</v>
      </c>
      <c r="C12" t="s">
        <v>90</v>
      </c>
      <c r="D12" s="7">
        <v>31984</v>
      </c>
      <c r="E12" s="7">
        <v>45667</v>
      </c>
      <c r="F12">
        <v>1001</v>
      </c>
      <c r="G12">
        <v>2002</v>
      </c>
      <c r="H12" t="s">
        <v>75</v>
      </c>
      <c r="I12" t="s">
        <v>81</v>
      </c>
      <c r="J12" s="7">
        <v>45741</v>
      </c>
      <c r="K12" t="s">
        <v>91</v>
      </c>
    </row>
    <row r="13" spans="1:11">
      <c r="A13">
        <v>3012</v>
      </c>
      <c r="B13" t="s">
        <v>92</v>
      </c>
      <c r="C13" t="s">
        <v>93</v>
      </c>
      <c r="D13" s="7">
        <v>33874</v>
      </c>
      <c r="E13" s="7">
        <v>45411</v>
      </c>
      <c r="F13">
        <v>1006</v>
      </c>
      <c r="G13">
        <v>2018</v>
      </c>
      <c r="H13" t="s">
        <v>21</v>
      </c>
      <c r="I13" t="s">
        <v>72</v>
      </c>
      <c r="J13" s="7"/>
      <c r="K13" t="s">
        <v>68</v>
      </c>
    </row>
    <row r="14" spans="1:11">
      <c r="A14">
        <v>3013</v>
      </c>
      <c r="B14" t="s">
        <v>94</v>
      </c>
      <c r="C14" t="s">
        <v>95</v>
      </c>
      <c r="D14" s="7">
        <v>37960</v>
      </c>
      <c r="E14" s="7">
        <v>45936</v>
      </c>
      <c r="F14">
        <v>1002</v>
      </c>
      <c r="G14">
        <v>2006</v>
      </c>
      <c r="H14" t="s">
        <v>86</v>
      </c>
      <c r="I14" t="s">
        <v>67</v>
      </c>
      <c r="J14" s="7"/>
      <c r="K14" t="s">
        <v>68</v>
      </c>
    </row>
    <row r="15" spans="1:11">
      <c r="A15">
        <v>3014</v>
      </c>
      <c r="B15" t="s">
        <v>96</v>
      </c>
      <c r="C15" t="s">
        <v>97</v>
      </c>
      <c r="D15" s="7">
        <v>22431</v>
      </c>
      <c r="E15" s="7">
        <v>45432</v>
      </c>
      <c r="F15">
        <v>1002</v>
      </c>
      <c r="G15">
        <v>2006</v>
      </c>
      <c r="H15" t="s">
        <v>21</v>
      </c>
      <c r="I15" t="s">
        <v>67</v>
      </c>
      <c r="J15" s="7"/>
      <c r="K15" t="s">
        <v>68</v>
      </c>
    </row>
    <row r="16" spans="1:11">
      <c r="A16">
        <v>3015</v>
      </c>
      <c r="B16" t="s">
        <v>98</v>
      </c>
      <c r="C16" t="s">
        <v>99</v>
      </c>
      <c r="D16" s="7">
        <v>38365</v>
      </c>
      <c r="E16" s="7">
        <v>46077</v>
      </c>
      <c r="F16">
        <v>1006</v>
      </c>
      <c r="G16">
        <v>2018</v>
      </c>
      <c r="H16" t="s">
        <v>21</v>
      </c>
      <c r="I16" t="s">
        <v>67</v>
      </c>
      <c r="J16" s="7"/>
      <c r="K16" t="s">
        <v>68</v>
      </c>
    </row>
    <row r="17" spans="1:11">
      <c r="A17">
        <v>3016</v>
      </c>
      <c r="B17" t="s">
        <v>82</v>
      </c>
      <c r="C17" t="s">
        <v>100</v>
      </c>
      <c r="D17" s="7">
        <v>36434</v>
      </c>
      <c r="E17" s="7">
        <v>45665</v>
      </c>
      <c r="F17">
        <v>1005</v>
      </c>
      <c r="G17">
        <v>2013</v>
      </c>
      <c r="H17" t="s">
        <v>86</v>
      </c>
      <c r="I17" t="s">
        <v>67</v>
      </c>
      <c r="J17" s="7"/>
      <c r="K17" t="s">
        <v>68</v>
      </c>
    </row>
    <row r="18" spans="1:11">
      <c r="A18">
        <v>3017</v>
      </c>
      <c r="B18" t="s">
        <v>101</v>
      </c>
      <c r="C18" t="s">
        <v>102</v>
      </c>
      <c r="D18" s="7">
        <v>18945</v>
      </c>
      <c r="E18" s="7">
        <v>45658</v>
      </c>
      <c r="F18">
        <v>1003</v>
      </c>
      <c r="G18">
        <v>2007</v>
      </c>
      <c r="H18" t="s">
        <v>21</v>
      </c>
      <c r="I18" t="s">
        <v>67</v>
      </c>
      <c r="J18" s="7"/>
      <c r="K18" t="s">
        <v>68</v>
      </c>
    </row>
    <row r="19" spans="1:11">
      <c r="A19">
        <v>3018</v>
      </c>
      <c r="B19" t="s">
        <v>103</v>
      </c>
      <c r="C19" t="s">
        <v>97</v>
      </c>
      <c r="D19" s="7">
        <v>35474</v>
      </c>
      <c r="E19" s="7">
        <v>45526</v>
      </c>
      <c r="F19">
        <v>1002</v>
      </c>
      <c r="G19">
        <v>2005</v>
      </c>
      <c r="H19" t="s">
        <v>75</v>
      </c>
      <c r="I19" t="s">
        <v>67</v>
      </c>
      <c r="J19" s="7">
        <v>45689</v>
      </c>
      <c r="K19" t="s">
        <v>76</v>
      </c>
    </row>
    <row r="20" spans="1:11">
      <c r="A20">
        <v>3019</v>
      </c>
      <c r="B20" t="s">
        <v>104</v>
      </c>
      <c r="C20" t="s">
        <v>105</v>
      </c>
      <c r="D20" s="7">
        <v>34849</v>
      </c>
      <c r="E20" s="7">
        <v>45158</v>
      </c>
      <c r="F20">
        <v>1005</v>
      </c>
      <c r="G20">
        <v>2015</v>
      </c>
      <c r="H20" t="s">
        <v>106</v>
      </c>
      <c r="I20" t="s">
        <v>72</v>
      </c>
      <c r="J20" s="7">
        <v>45394</v>
      </c>
      <c r="K20" t="s">
        <v>76</v>
      </c>
    </row>
    <row r="21" spans="1:11">
      <c r="A21">
        <v>3020</v>
      </c>
      <c r="B21" t="s">
        <v>107</v>
      </c>
      <c r="C21" t="s">
        <v>108</v>
      </c>
      <c r="D21" s="7">
        <v>21419</v>
      </c>
      <c r="E21" s="7">
        <v>45294</v>
      </c>
      <c r="F21">
        <v>1003</v>
      </c>
      <c r="G21">
        <v>2007</v>
      </c>
      <c r="H21" t="s">
        <v>21</v>
      </c>
      <c r="I21" t="s">
        <v>81</v>
      </c>
      <c r="J21" s="7"/>
      <c r="K21" t="s">
        <v>68</v>
      </c>
    </row>
    <row r="22" spans="1:11">
      <c r="A22">
        <v>3021</v>
      </c>
      <c r="B22" t="s">
        <v>92</v>
      </c>
      <c r="C22" t="s">
        <v>109</v>
      </c>
      <c r="D22" s="7">
        <v>36854</v>
      </c>
      <c r="E22" s="7">
        <v>45457</v>
      </c>
      <c r="F22">
        <v>1001</v>
      </c>
      <c r="G22">
        <v>2002</v>
      </c>
      <c r="H22" t="s">
        <v>21</v>
      </c>
      <c r="I22" t="s">
        <v>72</v>
      </c>
      <c r="J22" s="7"/>
      <c r="K22" t="s">
        <v>68</v>
      </c>
    </row>
    <row r="23" spans="1:11">
      <c r="A23">
        <v>3022</v>
      </c>
      <c r="B23" t="s">
        <v>110</v>
      </c>
      <c r="C23" t="s">
        <v>111</v>
      </c>
      <c r="D23" s="7">
        <v>25430</v>
      </c>
      <c r="E23" s="7">
        <v>45757</v>
      </c>
      <c r="F23">
        <v>1005</v>
      </c>
      <c r="G23">
        <v>2014</v>
      </c>
      <c r="H23" t="s">
        <v>106</v>
      </c>
      <c r="I23" t="s">
        <v>81</v>
      </c>
      <c r="J23" s="7">
        <v>45968</v>
      </c>
      <c r="K23" t="s">
        <v>112</v>
      </c>
    </row>
    <row r="24" spans="1:11">
      <c r="A24">
        <v>3023</v>
      </c>
      <c r="B24" t="s">
        <v>113</v>
      </c>
      <c r="C24" t="s">
        <v>114</v>
      </c>
      <c r="D24" s="7">
        <v>29917</v>
      </c>
      <c r="E24" s="7">
        <v>45162</v>
      </c>
      <c r="F24">
        <v>1004</v>
      </c>
      <c r="G24">
        <v>2012</v>
      </c>
      <c r="H24" t="s">
        <v>21</v>
      </c>
      <c r="I24" t="s">
        <v>67</v>
      </c>
      <c r="J24" s="7"/>
      <c r="K24" t="s">
        <v>68</v>
      </c>
    </row>
    <row r="25" spans="1:11">
      <c r="A25">
        <v>3024</v>
      </c>
      <c r="B25" t="s">
        <v>115</v>
      </c>
      <c r="C25" t="s">
        <v>78</v>
      </c>
      <c r="D25" s="7">
        <v>20768</v>
      </c>
      <c r="E25" s="7">
        <v>45587</v>
      </c>
      <c r="F25">
        <v>1002</v>
      </c>
      <c r="G25">
        <v>2005</v>
      </c>
      <c r="H25" t="s">
        <v>21</v>
      </c>
      <c r="I25" t="s">
        <v>72</v>
      </c>
      <c r="J25" s="7"/>
      <c r="K25" t="s">
        <v>68</v>
      </c>
    </row>
    <row r="26" spans="1:11">
      <c r="A26">
        <v>3025</v>
      </c>
      <c r="B26" t="s">
        <v>84</v>
      </c>
      <c r="C26" t="s">
        <v>93</v>
      </c>
      <c r="D26" s="7">
        <v>34745</v>
      </c>
      <c r="E26" s="7">
        <v>45557</v>
      </c>
      <c r="F26">
        <v>1003</v>
      </c>
      <c r="G26">
        <v>2007</v>
      </c>
      <c r="H26" t="s">
        <v>21</v>
      </c>
      <c r="I26" t="s">
        <v>67</v>
      </c>
      <c r="J26" s="7"/>
      <c r="K26" t="s">
        <v>68</v>
      </c>
    </row>
    <row r="27" spans="1:11">
      <c r="A27">
        <v>3026</v>
      </c>
      <c r="B27" t="s">
        <v>116</v>
      </c>
      <c r="C27" t="s">
        <v>66</v>
      </c>
      <c r="D27" s="7">
        <v>32177</v>
      </c>
      <c r="E27" s="7">
        <v>45508</v>
      </c>
      <c r="F27">
        <v>1006</v>
      </c>
      <c r="G27">
        <v>2018</v>
      </c>
      <c r="H27" t="s">
        <v>21</v>
      </c>
      <c r="I27" t="s">
        <v>72</v>
      </c>
      <c r="J27" s="7"/>
      <c r="K27" t="s">
        <v>68</v>
      </c>
    </row>
    <row r="28" spans="1:11">
      <c r="A28">
        <v>3027</v>
      </c>
      <c r="B28" t="s">
        <v>117</v>
      </c>
      <c r="C28" t="s">
        <v>118</v>
      </c>
      <c r="D28" s="7">
        <v>20614</v>
      </c>
      <c r="E28" s="7">
        <v>45320</v>
      </c>
      <c r="F28">
        <v>1006</v>
      </c>
      <c r="G28">
        <v>2018</v>
      </c>
      <c r="H28" t="s">
        <v>21</v>
      </c>
      <c r="I28" t="s">
        <v>67</v>
      </c>
      <c r="J28" s="7"/>
      <c r="K28" t="s">
        <v>68</v>
      </c>
    </row>
    <row r="29" spans="1:11">
      <c r="A29">
        <v>3028</v>
      </c>
      <c r="B29" t="s">
        <v>119</v>
      </c>
      <c r="C29" t="s">
        <v>120</v>
      </c>
      <c r="D29" s="7">
        <v>25117</v>
      </c>
      <c r="E29" s="7">
        <v>45508</v>
      </c>
      <c r="F29">
        <v>1006</v>
      </c>
      <c r="G29">
        <v>2018</v>
      </c>
      <c r="H29" t="s">
        <v>75</v>
      </c>
      <c r="I29" t="s">
        <v>67</v>
      </c>
      <c r="J29" s="7">
        <v>46064</v>
      </c>
      <c r="K29" t="s">
        <v>121</v>
      </c>
    </row>
    <row r="30" spans="1:11">
      <c r="A30">
        <v>3029</v>
      </c>
      <c r="B30" t="s">
        <v>77</v>
      </c>
      <c r="C30" t="s">
        <v>122</v>
      </c>
      <c r="D30" s="7">
        <v>21309</v>
      </c>
      <c r="E30" s="7">
        <v>46026</v>
      </c>
      <c r="F30">
        <v>1002</v>
      </c>
      <c r="G30">
        <v>2006</v>
      </c>
      <c r="H30" t="s">
        <v>21</v>
      </c>
      <c r="I30" t="s">
        <v>81</v>
      </c>
      <c r="J30" s="7"/>
      <c r="K30" t="s">
        <v>68</v>
      </c>
    </row>
    <row r="31" spans="1:11">
      <c r="A31">
        <v>3030</v>
      </c>
      <c r="B31" t="s">
        <v>123</v>
      </c>
      <c r="C31" t="s">
        <v>102</v>
      </c>
      <c r="D31" s="7">
        <v>19322</v>
      </c>
      <c r="E31" s="7">
        <v>45310</v>
      </c>
      <c r="F31">
        <v>1005</v>
      </c>
      <c r="G31">
        <v>2013</v>
      </c>
      <c r="H31" t="s">
        <v>21</v>
      </c>
      <c r="I31" t="s">
        <v>81</v>
      </c>
      <c r="J31" s="7"/>
      <c r="K31" t="s">
        <v>68</v>
      </c>
    </row>
    <row r="32" spans="1:11">
      <c r="A32">
        <v>3031</v>
      </c>
      <c r="B32" t="s">
        <v>124</v>
      </c>
      <c r="C32" t="s">
        <v>125</v>
      </c>
      <c r="D32" s="7">
        <v>31980</v>
      </c>
      <c r="E32" s="7">
        <v>45239</v>
      </c>
      <c r="F32">
        <v>1002</v>
      </c>
      <c r="G32">
        <v>2005</v>
      </c>
      <c r="H32" t="s">
        <v>21</v>
      </c>
      <c r="I32" t="s">
        <v>72</v>
      </c>
      <c r="J32" s="7"/>
      <c r="K32" t="s">
        <v>68</v>
      </c>
    </row>
    <row r="33" spans="1:11">
      <c r="A33">
        <v>3032</v>
      </c>
      <c r="B33" t="s">
        <v>126</v>
      </c>
      <c r="C33" t="s">
        <v>127</v>
      </c>
      <c r="D33" s="7">
        <v>33748</v>
      </c>
      <c r="E33" s="7">
        <v>45703</v>
      </c>
      <c r="F33">
        <v>1001</v>
      </c>
      <c r="G33">
        <v>2003</v>
      </c>
      <c r="H33" t="s">
        <v>21</v>
      </c>
      <c r="I33" t="s">
        <v>72</v>
      </c>
      <c r="J33" s="7"/>
      <c r="K33" t="s">
        <v>68</v>
      </c>
    </row>
    <row r="34" spans="1:11">
      <c r="A34">
        <v>3033</v>
      </c>
      <c r="B34" t="s">
        <v>65</v>
      </c>
      <c r="C34" t="s">
        <v>88</v>
      </c>
      <c r="D34" s="7">
        <v>20755</v>
      </c>
      <c r="E34" s="7">
        <v>45243</v>
      </c>
      <c r="F34">
        <v>1006</v>
      </c>
      <c r="G34">
        <v>2018</v>
      </c>
      <c r="H34" t="s">
        <v>21</v>
      </c>
      <c r="I34" t="s">
        <v>67</v>
      </c>
      <c r="J34" s="7"/>
      <c r="K34" t="s">
        <v>68</v>
      </c>
    </row>
    <row r="35" spans="1:11">
      <c r="A35">
        <v>3034</v>
      </c>
      <c r="B35" t="s">
        <v>117</v>
      </c>
      <c r="C35" t="s">
        <v>70</v>
      </c>
      <c r="D35" s="7">
        <v>36242</v>
      </c>
      <c r="E35" s="7">
        <v>45441</v>
      </c>
      <c r="F35">
        <v>1001</v>
      </c>
      <c r="G35">
        <v>2002</v>
      </c>
      <c r="H35" t="s">
        <v>21</v>
      </c>
      <c r="I35" t="s">
        <v>72</v>
      </c>
      <c r="J35" s="7"/>
      <c r="K35" t="s">
        <v>68</v>
      </c>
    </row>
    <row r="36" spans="1:11">
      <c r="A36">
        <v>3035</v>
      </c>
      <c r="B36" t="s">
        <v>128</v>
      </c>
      <c r="C36" t="s">
        <v>129</v>
      </c>
      <c r="D36" s="7">
        <v>26546</v>
      </c>
      <c r="E36" s="7">
        <v>45945</v>
      </c>
      <c r="F36">
        <v>1001</v>
      </c>
      <c r="G36">
        <v>2002</v>
      </c>
      <c r="H36" t="s">
        <v>21</v>
      </c>
      <c r="I36" t="s">
        <v>67</v>
      </c>
      <c r="J36" s="7"/>
      <c r="K36" t="s">
        <v>68</v>
      </c>
    </row>
    <row r="37" spans="1:11">
      <c r="A37">
        <v>3036</v>
      </c>
      <c r="B37" t="s">
        <v>130</v>
      </c>
      <c r="C37" t="s">
        <v>131</v>
      </c>
      <c r="D37" s="7">
        <v>21525</v>
      </c>
      <c r="E37" s="7">
        <v>45977</v>
      </c>
      <c r="F37">
        <v>1005</v>
      </c>
      <c r="G37">
        <v>2013</v>
      </c>
      <c r="H37" t="s">
        <v>21</v>
      </c>
      <c r="I37" t="s">
        <v>67</v>
      </c>
      <c r="J37" s="7"/>
      <c r="K37" t="s">
        <v>68</v>
      </c>
    </row>
    <row r="38" spans="1:11">
      <c r="A38">
        <v>3037</v>
      </c>
      <c r="B38" t="s">
        <v>92</v>
      </c>
      <c r="C38" t="s">
        <v>118</v>
      </c>
      <c r="D38" s="7">
        <v>29134</v>
      </c>
      <c r="E38" s="7">
        <v>45607</v>
      </c>
      <c r="F38">
        <v>1005</v>
      </c>
      <c r="G38">
        <v>2015</v>
      </c>
      <c r="H38" t="s">
        <v>21</v>
      </c>
      <c r="I38" t="s">
        <v>67</v>
      </c>
      <c r="J38" s="7"/>
      <c r="K38" t="s">
        <v>68</v>
      </c>
    </row>
    <row r="39" spans="1:11">
      <c r="A39">
        <v>3038</v>
      </c>
      <c r="B39" t="s">
        <v>132</v>
      </c>
      <c r="C39" t="s">
        <v>133</v>
      </c>
      <c r="D39" s="7">
        <v>21216</v>
      </c>
      <c r="E39" s="7">
        <v>45138</v>
      </c>
      <c r="F39">
        <v>1002</v>
      </c>
      <c r="G39">
        <v>2006</v>
      </c>
      <c r="H39" t="s">
        <v>21</v>
      </c>
      <c r="I39" t="s">
        <v>81</v>
      </c>
      <c r="J39" s="7"/>
      <c r="K39" t="s">
        <v>68</v>
      </c>
    </row>
    <row r="40" spans="1:11">
      <c r="A40">
        <v>3039</v>
      </c>
      <c r="B40" t="s">
        <v>123</v>
      </c>
      <c r="C40" t="s">
        <v>134</v>
      </c>
      <c r="D40" s="7">
        <v>27529</v>
      </c>
      <c r="E40" s="7">
        <v>45390</v>
      </c>
      <c r="F40">
        <v>1005</v>
      </c>
      <c r="G40">
        <v>2013</v>
      </c>
      <c r="H40" t="s">
        <v>21</v>
      </c>
      <c r="I40" t="s">
        <v>67</v>
      </c>
      <c r="J40" s="7"/>
      <c r="K40" t="s">
        <v>68</v>
      </c>
    </row>
    <row r="41" spans="1:11">
      <c r="A41">
        <v>3040</v>
      </c>
      <c r="B41" t="s">
        <v>135</v>
      </c>
      <c r="C41" t="s">
        <v>136</v>
      </c>
      <c r="D41" s="7">
        <v>36639</v>
      </c>
      <c r="E41" s="7">
        <v>45738</v>
      </c>
      <c r="F41">
        <v>1001</v>
      </c>
      <c r="G41">
        <v>2002</v>
      </c>
      <c r="H41" t="s">
        <v>21</v>
      </c>
      <c r="I41" t="s">
        <v>67</v>
      </c>
      <c r="J41" s="7"/>
      <c r="K41" t="s">
        <v>68</v>
      </c>
    </row>
    <row r="42" spans="1:11">
      <c r="A42">
        <v>3041</v>
      </c>
      <c r="B42" t="s">
        <v>92</v>
      </c>
      <c r="C42" t="s">
        <v>137</v>
      </c>
      <c r="D42" s="7">
        <v>22233</v>
      </c>
      <c r="E42" s="7">
        <v>45394</v>
      </c>
      <c r="F42">
        <v>1006</v>
      </c>
      <c r="G42">
        <v>2017</v>
      </c>
      <c r="H42" t="s">
        <v>21</v>
      </c>
      <c r="I42" t="s">
        <v>72</v>
      </c>
      <c r="J42" s="7"/>
      <c r="K42" t="s">
        <v>68</v>
      </c>
    </row>
    <row r="43" spans="1:11">
      <c r="A43">
        <v>3042</v>
      </c>
      <c r="B43" t="s">
        <v>87</v>
      </c>
      <c r="C43" t="s">
        <v>138</v>
      </c>
      <c r="D43" s="7">
        <v>30074</v>
      </c>
      <c r="E43" s="7">
        <v>45535</v>
      </c>
      <c r="F43">
        <v>1001</v>
      </c>
      <c r="G43">
        <v>2002</v>
      </c>
      <c r="H43" t="s">
        <v>21</v>
      </c>
      <c r="I43" t="s">
        <v>72</v>
      </c>
      <c r="J43" s="7"/>
      <c r="K43" t="s">
        <v>68</v>
      </c>
    </row>
    <row r="44" spans="1:11">
      <c r="A44">
        <v>3043</v>
      </c>
      <c r="B44" t="s">
        <v>96</v>
      </c>
      <c r="C44" t="s">
        <v>120</v>
      </c>
      <c r="D44" s="7">
        <v>20503</v>
      </c>
      <c r="E44" s="7">
        <v>45308</v>
      </c>
      <c r="F44">
        <v>1003</v>
      </c>
      <c r="G44">
        <v>2009</v>
      </c>
      <c r="H44" t="s">
        <v>21</v>
      </c>
      <c r="I44" t="s">
        <v>81</v>
      </c>
      <c r="J44" s="7"/>
      <c r="K44" t="s">
        <v>68</v>
      </c>
    </row>
    <row r="45" spans="1:11">
      <c r="A45">
        <v>3044</v>
      </c>
      <c r="B45" t="s">
        <v>65</v>
      </c>
      <c r="C45" t="s">
        <v>71</v>
      </c>
      <c r="D45" s="7">
        <v>27422</v>
      </c>
      <c r="E45" s="7">
        <v>45449</v>
      </c>
      <c r="F45">
        <v>1003</v>
      </c>
      <c r="G45">
        <v>2007</v>
      </c>
      <c r="H45" t="s">
        <v>21</v>
      </c>
      <c r="I45" t="s">
        <v>72</v>
      </c>
      <c r="J45" s="7"/>
      <c r="K45" t="s">
        <v>68</v>
      </c>
    </row>
    <row r="46" spans="1:11">
      <c r="A46">
        <v>3045</v>
      </c>
      <c r="B46" t="s">
        <v>84</v>
      </c>
      <c r="C46" t="s">
        <v>78</v>
      </c>
      <c r="D46" s="7">
        <v>21304</v>
      </c>
      <c r="E46" s="7">
        <v>45424</v>
      </c>
      <c r="F46">
        <v>1005</v>
      </c>
      <c r="G46">
        <v>2015</v>
      </c>
      <c r="H46" t="s">
        <v>21</v>
      </c>
      <c r="I46" t="s">
        <v>67</v>
      </c>
      <c r="J46" s="7"/>
      <c r="K46" t="s">
        <v>68</v>
      </c>
    </row>
    <row r="47" spans="1:11">
      <c r="A47">
        <v>3046</v>
      </c>
      <c r="B47" t="s">
        <v>94</v>
      </c>
      <c r="C47" t="s">
        <v>139</v>
      </c>
      <c r="D47" s="7">
        <v>20209</v>
      </c>
      <c r="E47" s="7">
        <v>45750</v>
      </c>
      <c r="F47">
        <v>1003</v>
      </c>
      <c r="G47">
        <v>2009</v>
      </c>
      <c r="H47" t="s">
        <v>21</v>
      </c>
      <c r="I47" t="s">
        <v>67</v>
      </c>
      <c r="J47" s="7"/>
      <c r="K47" t="s">
        <v>68</v>
      </c>
    </row>
    <row r="48" spans="1:11">
      <c r="A48">
        <v>3047</v>
      </c>
      <c r="B48" t="s">
        <v>82</v>
      </c>
      <c r="C48" t="s">
        <v>114</v>
      </c>
      <c r="D48" s="7">
        <v>22207</v>
      </c>
      <c r="E48" s="7">
        <v>45843</v>
      </c>
      <c r="F48">
        <v>1001</v>
      </c>
      <c r="G48">
        <v>2003</v>
      </c>
      <c r="H48" t="s">
        <v>21</v>
      </c>
      <c r="I48" t="s">
        <v>67</v>
      </c>
      <c r="J48" s="7"/>
      <c r="K48" t="s">
        <v>68</v>
      </c>
    </row>
    <row r="49" spans="1:11">
      <c r="A49">
        <v>3048</v>
      </c>
      <c r="B49" t="s">
        <v>140</v>
      </c>
      <c r="C49" t="s">
        <v>141</v>
      </c>
      <c r="D49" s="7">
        <v>24163</v>
      </c>
      <c r="E49" s="7">
        <v>45481</v>
      </c>
      <c r="F49">
        <v>1004</v>
      </c>
      <c r="G49">
        <v>2011</v>
      </c>
      <c r="H49" t="s">
        <v>106</v>
      </c>
      <c r="I49" t="s">
        <v>67</v>
      </c>
      <c r="J49" s="7">
        <v>45910</v>
      </c>
      <c r="K49" t="s">
        <v>142</v>
      </c>
    </row>
    <row r="50" spans="1:11">
      <c r="A50">
        <v>3049</v>
      </c>
      <c r="B50" t="s">
        <v>116</v>
      </c>
      <c r="C50" t="s">
        <v>125</v>
      </c>
      <c r="D50" s="7">
        <v>26970</v>
      </c>
      <c r="E50" s="7">
        <v>45665</v>
      </c>
      <c r="F50">
        <v>1003</v>
      </c>
      <c r="G50">
        <v>2008</v>
      </c>
      <c r="H50" t="s">
        <v>75</v>
      </c>
      <c r="I50" t="s">
        <v>81</v>
      </c>
      <c r="J50" s="7">
        <v>45835</v>
      </c>
      <c r="K50" t="s">
        <v>112</v>
      </c>
    </row>
    <row r="51" spans="1:11">
      <c r="A51">
        <v>3050</v>
      </c>
      <c r="B51" t="s">
        <v>143</v>
      </c>
      <c r="C51" t="s">
        <v>144</v>
      </c>
      <c r="D51" s="7">
        <v>33922</v>
      </c>
      <c r="E51" s="7">
        <v>45835</v>
      </c>
      <c r="F51">
        <v>1001</v>
      </c>
      <c r="G51">
        <v>2003</v>
      </c>
      <c r="H51" t="s">
        <v>21</v>
      </c>
      <c r="I51" t="s">
        <v>81</v>
      </c>
      <c r="J51" s="7"/>
      <c r="K51" t="s">
        <v>68</v>
      </c>
    </row>
    <row r="52" spans="1:11">
      <c r="A52">
        <v>3051</v>
      </c>
      <c r="B52" t="s">
        <v>141</v>
      </c>
      <c r="C52" t="s">
        <v>145</v>
      </c>
      <c r="D52" s="7">
        <v>29595</v>
      </c>
      <c r="E52" s="7">
        <v>45689</v>
      </c>
      <c r="F52">
        <v>1002</v>
      </c>
      <c r="G52">
        <v>2005</v>
      </c>
      <c r="H52" t="s">
        <v>21</v>
      </c>
      <c r="I52" t="s">
        <v>67</v>
      </c>
      <c r="J52" s="7"/>
      <c r="K52" t="s">
        <v>68</v>
      </c>
    </row>
    <row r="53" spans="1:11">
      <c r="A53">
        <v>3052</v>
      </c>
      <c r="B53" t="s">
        <v>146</v>
      </c>
      <c r="C53" t="s">
        <v>137</v>
      </c>
      <c r="D53" s="7">
        <v>36409</v>
      </c>
      <c r="E53" s="7">
        <v>45797</v>
      </c>
      <c r="F53">
        <v>1003</v>
      </c>
      <c r="G53">
        <v>2008</v>
      </c>
      <c r="H53" t="s">
        <v>21</v>
      </c>
      <c r="I53" t="s">
        <v>67</v>
      </c>
      <c r="J53" s="7"/>
      <c r="K53" t="s">
        <v>68</v>
      </c>
    </row>
    <row r="54" spans="1:11">
      <c r="A54">
        <v>3053</v>
      </c>
      <c r="B54" t="s">
        <v>147</v>
      </c>
      <c r="C54" t="s">
        <v>120</v>
      </c>
      <c r="D54" s="7">
        <v>20092</v>
      </c>
      <c r="E54" s="7">
        <v>45341</v>
      </c>
      <c r="F54">
        <v>1003</v>
      </c>
      <c r="G54">
        <v>2007</v>
      </c>
      <c r="H54" t="s">
        <v>21</v>
      </c>
      <c r="I54" t="s">
        <v>81</v>
      </c>
      <c r="J54" s="7"/>
      <c r="K54" t="s">
        <v>68</v>
      </c>
    </row>
    <row r="55" spans="1:11">
      <c r="A55">
        <v>3054</v>
      </c>
      <c r="B55" t="s">
        <v>148</v>
      </c>
      <c r="C55" t="s">
        <v>99</v>
      </c>
      <c r="D55" s="7">
        <v>35597</v>
      </c>
      <c r="E55" s="7">
        <v>45355</v>
      </c>
      <c r="F55">
        <v>1003</v>
      </c>
      <c r="G55">
        <v>2009</v>
      </c>
      <c r="H55" t="s">
        <v>75</v>
      </c>
      <c r="I55" t="s">
        <v>67</v>
      </c>
      <c r="J55" s="7">
        <v>45756</v>
      </c>
      <c r="K55" t="s">
        <v>149</v>
      </c>
    </row>
    <row r="56" spans="1:11">
      <c r="A56">
        <v>3055</v>
      </c>
      <c r="B56" t="s">
        <v>94</v>
      </c>
      <c r="C56" t="s">
        <v>120</v>
      </c>
      <c r="D56" s="7">
        <v>36482</v>
      </c>
      <c r="E56" s="7">
        <v>45522</v>
      </c>
      <c r="F56">
        <v>1001</v>
      </c>
      <c r="G56">
        <v>2003</v>
      </c>
      <c r="H56" t="s">
        <v>21</v>
      </c>
      <c r="I56" t="s">
        <v>81</v>
      </c>
      <c r="J56" s="7"/>
      <c r="K56" t="s">
        <v>68</v>
      </c>
    </row>
    <row r="57" spans="1:11">
      <c r="A57">
        <v>3056</v>
      </c>
      <c r="B57" t="s">
        <v>101</v>
      </c>
      <c r="C57" t="s">
        <v>150</v>
      </c>
      <c r="D57" s="7">
        <v>22922</v>
      </c>
      <c r="E57" s="7">
        <v>45734</v>
      </c>
      <c r="F57">
        <v>1001</v>
      </c>
      <c r="G57">
        <v>2003</v>
      </c>
      <c r="H57" t="s">
        <v>21</v>
      </c>
      <c r="I57" t="s">
        <v>72</v>
      </c>
      <c r="J57" s="7"/>
      <c r="K57" t="s">
        <v>68</v>
      </c>
    </row>
    <row r="58" spans="1:11">
      <c r="A58">
        <v>3057</v>
      </c>
      <c r="B58" t="s">
        <v>148</v>
      </c>
      <c r="C58" t="s">
        <v>151</v>
      </c>
      <c r="D58" s="7">
        <v>37005</v>
      </c>
      <c r="E58" s="7">
        <v>45379</v>
      </c>
      <c r="F58">
        <v>1006</v>
      </c>
      <c r="G58">
        <v>2018</v>
      </c>
      <c r="H58" t="s">
        <v>21</v>
      </c>
      <c r="I58" t="s">
        <v>72</v>
      </c>
      <c r="J58" s="7"/>
      <c r="K58" t="s">
        <v>68</v>
      </c>
    </row>
    <row r="59" spans="1:11">
      <c r="A59">
        <v>3058</v>
      </c>
      <c r="B59" t="s">
        <v>152</v>
      </c>
      <c r="C59" t="s">
        <v>114</v>
      </c>
      <c r="D59" s="7">
        <v>39008</v>
      </c>
      <c r="E59" s="7">
        <v>45735</v>
      </c>
      <c r="F59">
        <v>1006</v>
      </c>
      <c r="G59">
        <v>2018</v>
      </c>
      <c r="H59" t="s">
        <v>21</v>
      </c>
      <c r="I59" t="s">
        <v>81</v>
      </c>
      <c r="J59" s="7"/>
      <c r="K59" t="s">
        <v>68</v>
      </c>
    </row>
    <row r="60" spans="1:11">
      <c r="A60">
        <v>3059</v>
      </c>
      <c r="B60" t="s">
        <v>132</v>
      </c>
      <c r="C60" t="s">
        <v>71</v>
      </c>
      <c r="D60" s="7">
        <v>37843</v>
      </c>
      <c r="E60" s="7">
        <v>45778</v>
      </c>
      <c r="F60">
        <v>1001</v>
      </c>
      <c r="G60">
        <v>2003</v>
      </c>
      <c r="H60" t="s">
        <v>21</v>
      </c>
      <c r="I60" t="s">
        <v>67</v>
      </c>
      <c r="J60" s="7"/>
      <c r="K60" t="s">
        <v>68</v>
      </c>
    </row>
    <row r="61" spans="1:11">
      <c r="A61">
        <v>3060</v>
      </c>
      <c r="B61" t="s">
        <v>153</v>
      </c>
      <c r="C61" t="s">
        <v>70</v>
      </c>
      <c r="D61" s="7">
        <v>24399</v>
      </c>
      <c r="E61" s="7">
        <v>45292</v>
      </c>
      <c r="F61">
        <v>1004</v>
      </c>
      <c r="G61">
        <v>2011</v>
      </c>
      <c r="H61" t="s">
        <v>21</v>
      </c>
      <c r="I61" t="s">
        <v>72</v>
      </c>
      <c r="J61" s="7"/>
      <c r="K61" t="s">
        <v>68</v>
      </c>
    </row>
    <row r="62" spans="1:11">
      <c r="A62">
        <v>3061</v>
      </c>
      <c r="B62" t="s">
        <v>69</v>
      </c>
      <c r="C62" t="s">
        <v>136</v>
      </c>
      <c r="D62" s="7">
        <v>26535</v>
      </c>
      <c r="E62" s="7">
        <v>45754</v>
      </c>
      <c r="F62">
        <v>1006</v>
      </c>
      <c r="G62">
        <v>2018</v>
      </c>
      <c r="H62" t="s">
        <v>21</v>
      </c>
      <c r="I62" t="s">
        <v>81</v>
      </c>
      <c r="J62" s="7"/>
      <c r="K62" t="s">
        <v>68</v>
      </c>
    </row>
    <row r="63" spans="1:11">
      <c r="A63">
        <v>3062</v>
      </c>
      <c r="B63" t="s">
        <v>132</v>
      </c>
      <c r="C63" t="s">
        <v>151</v>
      </c>
      <c r="D63" s="7">
        <v>34408</v>
      </c>
      <c r="E63" s="7">
        <v>45268</v>
      </c>
      <c r="F63">
        <v>1002</v>
      </c>
      <c r="G63">
        <v>2005</v>
      </c>
      <c r="H63" t="s">
        <v>21</v>
      </c>
      <c r="I63" t="s">
        <v>67</v>
      </c>
      <c r="J63" s="7"/>
      <c r="K63" t="s">
        <v>68</v>
      </c>
    </row>
    <row r="64" spans="1:11">
      <c r="A64">
        <v>3063</v>
      </c>
      <c r="B64" t="s">
        <v>73</v>
      </c>
      <c r="C64" t="s">
        <v>100</v>
      </c>
      <c r="D64" s="7">
        <v>31934</v>
      </c>
      <c r="E64" s="7">
        <v>45618</v>
      </c>
      <c r="F64">
        <v>1006</v>
      </c>
      <c r="G64">
        <v>2017</v>
      </c>
      <c r="H64" t="s">
        <v>86</v>
      </c>
      <c r="I64" t="s">
        <v>67</v>
      </c>
      <c r="J64" s="7"/>
      <c r="K64" t="s">
        <v>68</v>
      </c>
    </row>
    <row r="65" spans="1:11">
      <c r="A65">
        <v>3064</v>
      </c>
      <c r="B65" t="s">
        <v>77</v>
      </c>
      <c r="C65" t="s">
        <v>127</v>
      </c>
      <c r="D65" s="7">
        <v>22331</v>
      </c>
      <c r="E65" s="7">
        <v>45989</v>
      </c>
      <c r="F65">
        <v>1006</v>
      </c>
      <c r="G65">
        <v>2017</v>
      </c>
      <c r="H65" t="s">
        <v>106</v>
      </c>
      <c r="I65" t="s">
        <v>81</v>
      </c>
      <c r="J65" s="7">
        <v>46052</v>
      </c>
      <c r="K65" t="s">
        <v>91</v>
      </c>
    </row>
    <row r="66" spans="1:11">
      <c r="A66">
        <v>3065</v>
      </c>
      <c r="B66" t="s">
        <v>119</v>
      </c>
      <c r="C66" t="s">
        <v>136</v>
      </c>
      <c r="D66" s="7">
        <v>22815</v>
      </c>
      <c r="E66" s="7">
        <v>46053</v>
      </c>
      <c r="F66">
        <v>1005</v>
      </c>
      <c r="G66">
        <v>2014</v>
      </c>
      <c r="H66" t="s">
        <v>21</v>
      </c>
      <c r="I66" t="s">
        <v>67</v>
      </c>
      <c r="J66" s="7"/>
      <c r="K66" t="s">
        <v>68</v>
      </c>
    </row>
    <row r="67" spans="1:11">
      <c r="A67">
        <v>3066</v>
      </c>
      <c r="B67" t="s">
        <v>154</v>
      </c>
      <c r="C67" t="s">
        <v>97</v>
      </c>
      <c r="D67" s="7">
        <v>38914</v>
      </c>
      <c r="E67" s="7">
        <v>46152</v>
      </c>
      <c r="F67">
        <v>1004</v>
      </c>
      <c r="G67">
        <v>2012</v>
      </c>
      <c r="H67" t="s">
        <v>106</v>
      </c>
      <c r="I67" t="s">
        <v>81</v>
      </c>
      <c r="J67" s="7">
        <v>46186</v>
      </c>
      <c r="K67" t="s">
        <v>149</v>
      </c>
    </row>
    <row r="68" spans="1:11">
      <c r="A68">
        <v>3067</v>
      </c>
      <c r="B68" t="s">
        <v>155</v>
      </c>
      <c r="C68" t="s">
        <v>138</v>
      </c>
      <c r="D68" s="7">
        <v>27925</v>
      </c>
      <c r="E68" s="7">
        <v>46186</v>
      </c>
      <c r="F68">
        <v>1006</v>
      </c>
      <c r="G68">
        <v>2018</v>
      </c>
      <c r="H68" t="s">
        <v>21</v>
      </c>
      <c r="I68" t="s">
        <v>72</v>
      </c>
      <c r="J68" s="7"/>
      <c r="K68" t="s">
        <v>68</v>
      </c>
    </row>
    <row r="69" spans="1:11">
      <c r="A69">
        <v>3068</v>
      </c>
      <c r="B69" t="s">
        <v>156</v>
      </c>
      <c r="C69" t="s">
        <v>88</v>
      </c>
      <c r="D69" s="7">
        <v>26522</v>
      </c>
      <c r="E69" s="7">
        <v>45675</v>
      </c>
      <c r="F69">
        <v>1002</v>
      </c>
      <c r="G69">
        <v>2006</v>
      </c>
      <c r="H69" t="s">
        <v>21</v>
      </c>
      <c r="I69" t="s">
        <v>72</v>
      </c>
      <c r="J69" s="7"/>
      <c r="K69" t="s">
        <v>68</v>
      </c>
    </row>
    <row r="70" spans="1:11">
      <c r="A70">
        <v>3069</v>
      </c>
      <c r="B70" t="s">
        <v>115</v>
      </c>
      <c r="C70" t="s">
        <v>151</v>
      </c>
      <c r="D70" s="7">
        <v>23846</v>
      </c>
      <c r="E70" s="7">
        <v>45557</v>
      </c>
      <c r="F70">
        <v>1005</v>
      </c>
      <c r="G70">
        <v>2013</v>
      </c>
      <c r="H70" t="s">
        <v>21</v>
      </c>
      <c r="I70" t="s">
        <v>67</v>
      </c>
      <c r="J70" s="7"/>
      <c r="K70" t="s">
        <v>68</v>
      </c>
    </row>
    <row r="71" spans="1:11">
      <c r="A71">
        <v>3070</v>
      </c>
      <c r="B71" t="s">
        <v>157</v>
      </c>
      <c r="C71" t="s">
        <v>158</v>
      </c>
      <c r="D71" s="7">
        <v>25616</v>
      </c>
      <c r="E71" s="7">
        <v>45979</v>
      </c>
      <c r="F71">
        <v>1004</v>
      </c>
      <c r="G71">
        <v>2012</v>
      </c>
      <c r="H71" t="s">
        <v>21</v>
      </c>
      <c r="I71" t="s">
        <v>67</v>
      </c>
      <c r="J71" s="7"/>
      <c r="K71" t="s">
        <v>68</v>
      </c>
    </row>
    <row r="72" spans="1:11">
      <c r="A72">
        <v>3071</v>
      </c>
      <c r="B72" t="s">
        <v>159</v>
      </c>
      <c r="C72" t="s">
        <v>160</v>
      </c>
      <c r="D72" s="7">
        <v>37703</v>
      </c>
      <c r="E72" s="7">
        <v>45898</v>
      </c>
      <c r="F72">
        <v>1005</v>
      </c>
      <c r="G72">
        <v>2015</v>
      </c>
      <c r="H72" t="s">
        <v>21</v>
      </c>
      <c r="I72" t="s">
        <v>81</v>
      </c>
      <c r="J72" s="7"/>
      <c r="K72" t="s">
        <v>68</v>
      </c>
    </row>
    <row r="73" spans="1:11">
      <c r="A73">
        <v>3072</v>
      </c>
      <c r="B73" t="s">
        <v>155</v>
      </c>
      <c r="C73" t="s">
        <v>95</v>
      </c>
      <c r="D73" s="7">
        <v>32569</v>
      </c>
      <c r="E73" s="7">
        <v>45570</v>
      </c>
      <c r="F73">
        <v>1003</v>
      </c>
      <c r="G73">
        <v>2008</v>
      </c>
      <c r="H73" t="s">
        <v>86</v>
      </c>
      <c r="I73" t="s">
        <v>81</v>
      </c>
      <c r="J73" s="7"/>
      <c r="K73" t="s">
        <v>68</v>
      </c>
    </row>
    <row r="74" spans="1:11">
      <c r="A74">
        <v>3073</v>
      </c>
      <c r="B74" t="s">
        <v>161</v>
      </c>
      <c r="C74" t="s">
        <v>162</v>
      </c>
      <c r="D74" s="7">
        <v>32087</v>
      </c>
      <c r="E74" s="7">
        <v>45457</v>
      </c>
      <c r="F74">
        <v>1003</v>
      </c>
      <c r="G74">
        <v>2008</v>
      </c>
      <c r="H74" t="s">
        <v>21</v>
      </c>
      <c r="I74" t="s">
        <v>67</v>
      </c>
      <c r="J74" s="7"/>
      <c r="K74" t="s">
        <v>68</v>
      </c>
    </row>
    <row r="75" spans="1:11">
      <c r="A75">
        <v>3074</v>
      </c>
      <c r="B75" t="s">
        <v>119</v>
      </c>
      <c r="C75" t="s">
        <v>122</v>
      </c>
      <c r="D75" s="7">
        <v>19727</v>
      </c>
      <c r="E75" s="7">
        <v>45290</v>
      </c>
      <c r="F75">
        <v>1002</v>
      </c>
      <c r="G75">
        <v>2005</v>
      </c>
      <c r="H75" t="s">
        <v>106</v>
      </c>
      <c r="I75" t="s">
        <v>72</v>
      </c>
      <c r="J75" s="7">
        <v>45955</v>
      </c>
      <c r="K75" t="s">
        <v>121</v>
      </c>
    </row>
    <row r="76" spans="1:11">
      <c r="A76">
        <v>3075</v>
      </c>
      <c r="B76" t="s">
        <v>163</v>
      </c>
      <c r="C76" t="s">
        <v>164</v>
      </c>
      <c r="D76" s="7">
        <v>25774</v>
      </c>
      <c r="E76" s="7">
        <v>46050</v>
      </c>
      <c r="F76">
        <v>1004</v>
      </c>
      <c r="G76">
        <v>2011</v>
      </c>
      <c r="H76" t="s">
        <v>21</v>
      </c>
      <c r="I76" t="s">
        <v>67</v>
      </c>
      <c r="J76" s="7"/>
      <c r="K76" t="s">
        <v>68</v>
      </c>
    </row>
    <row r="77" spans="1:11">
      <c r="A77">
        <v>3076</v>
      </c>
      <c r="B77" t="s">
        <v>159</v>
      </c>
      <c r="C77" t="s">
        <v>165</v>
      </c>
      <c r="D77" s="7">
        <v>27105</v>
      </c>
      <c r="E77" s="7">
        <v>45286</v>
      </c>
      <c r="F77">
        <v>1004</v>
      </c>
      <c r="G77">
        <v>2012</v>
      </c>
      <c r="H77" t="s">
        <v>86</v>
      </c>
      <c r="I77" t="s">
        <v>81</v>
      </c>
      <c r="J77" s="7"/>
      <c r="K77" t="s">
        <v>68</v>
      </c>
    </row>
    <row r="78" spans="1:11">
      <c r="A78">
        <v>3077</v>
      </c>
      <c r="B78" t="s">
        <v>166</v>
      </c>
      <c r="C78" t="s">
        <v>167</v>
      </c>
      <c r="D78" s="7">
        <v>21087</v>
      </c>
      <c r="E78" s="7">
        <v>45201</v>
      </c>
      <c r="F78">
        <v>1006</v>
      </c>
      <c r="G78">
        <v>2017</v>
      </c>
      <c r="H78" t="s">
        <v>106</v>
      </c>
      <c r="I78" t="s">
        <v>67</v>
      </c>
      <c r="J78" s="7">
        <v>45980</v>
      </c>
      <c r="K78" t="s">
        <v>142</v>
      </c>
    </row>
    <row r="79" spans="1:11">
      <c r="A79">
        <v>3078</v>
      </c>
      <c r="B79" t="s">
        <v>132</v>
      </c>
      <c r="C79" t="s">
        <v>127</v>
      </c>
      <c r="D79" s="7">
        <v>22587</v>
      </c>
      <c r="E79" s="7">
        <v>45565</v>
      </c>
      <c r="F79">
        <v>1001</v>
      </c>
      <c r="G79">
        <v>2002</v>
      </c>
      <c r="H79" t="s">
        <v>21</v>
      </c>
      <c r="I79" t="s">
        <v>72</v>
      </c>
      <c r="J79" s="7"/>
      <c r="K79" t="s">
        <v>68</v>
      </c>
    </row>
    <row r="80" spans="1:11">
      <c r="A80">
        <v>3079</v>
      </c>
      <c r="B80" t="s">
        <v>143</v>
      </c>
      <c r="C80" t="s">
        <v>66</v>
      </c>
      <c r="D80" s="7">
        <v>22592</v>
      </c>
      <c r="E80" s="7">
        <v>45454</v>
      </c>
      <c r="F80">
        <v>1003</v>
      </c>
      <c r="G80">
        <v>2008</v>
      </c>
      <c r="H80" t="s">
        <v>21</v>
      </c>
      <c r="I80" t="s">
        <v>72</v>
      </c>
      <c r="J80" s="7"/>
      <c r="K80" t="s">
        <v>68</v>
      </c>
    </row>
    <row r="81" spans="1:11">
      <c r="A81">
        <v>3080</v>
      </c>
      <c r="B81" t="s">
        <v>113</v>
      </c>
      <c r="C81" t="s">
        <v>127</v>
      </c>
      <c r="D81" s="7">
        <v>31137</v>
      </c>
      <c r="E81" s="7">
        <v>45931</v>
      </c>
      <c r="F81">
        <v>1005</v>
      </c>
      <c r="G81">
        <v>2013</v>
      </c>
      <c r="H81" t="s">
        <v>106</v>
      </c>
      <c r="I81" t="s">
        <v>72</v>
      </c>
      <c r="J81" s="7">
        <v>46039</v>
      </c>
      <c r="K81" t="s">
        <v>142</v>
      </c>
    </row>
    <row r="82" spans="1:11">
      <c r="A82">
        <v>3081</v>
      </c>
      <c r="B82" t="s">
        <v>168</v>
      </c>
      <c r="C82" t="s">
        <v>90</v>
      </c>
      <c r="D82" s="7">
        <v>38513</v>
      </c>
      <c r="E82" s="7">
        <v>45366</v>
      </c>
      <c r="F82">
        <v>1006</v>
      </c>
      <c r="G82">
        <v>2017</v>
      </c>
      <c r="H82" t="s">
        <v>21</v>
      </c>
      <c r="I82" t="s">
        <v>72</v>
      </c>
      <c r="J82" s="7"/>
      <c r="K82" t="s">
        <v>68</v>
      </c>
    </row>
    <row r="83" spans="1:11">
      <c r="A83">
        <v>3082</v>
      </c>
      <c r="B83" t="s">
        <v>110</v>
      </c>
      <c r="C83" t="s">
        <v>164</v>
      </c>
      <c r="D83" s="7">
        <v>21098</v>
      </c>
      <c r="E83" s="7">
        <v>46155</v>
      </c>
      <c r="F83">
        <v>1001</v>
      </c>
      <c r="G83">
        <v>2003</v>
      </c>
      <c r="H83" t="s">
        <v>21</v>
      </c>
      <c r="I83" t="s">
        <v>72</v>
      </c>
      <c r="J83" s="7"/>
      <c r="K83" t="s">
        <v>68</v>
      </c>
    </row>
    <row r="84" spans="1:11">
      <c r="A84">
        <v>3083</v>
      </c>
      <c r="B84" t="s">
        <v>140</v>
      </c>
      <c r="C84" t="s">
        <v>85</v>
      </c>
      <c r="D84" s="7">
        <v>30707</v>
      </c>
      <c r="E84" s="7">
        <v>46060</v>
      </c>
      <c r="F84">
        <v>1001</v>
      </c>
      <c r="G84">
        <v>2003</v>
      </c>
      <c r="H84" t="s">
        <v>75</v>
      </c>
      <c r="I84" t="s">
        <v>67</v>
      </c>
      <c r="J84" s="7">
        <v>46106</v>
      </c>
      <c r="K84" t="s">
        <v>121</v>
      </c>
    </row>
    <row r="85" spans="1:11">
      <c r="A85">
        <v>3084</v>
      </c>
      <c r="B85" t="s">
        <v>132</v>
      </c>
      <c r="C85" t="s">
        <v>120</v>
      </c>
      <c r="D85" s="7">
        <v>36473</v>
      </c>
      <c r="E85" s="7">
        <v>46109</v>
      </c>
      <c r="F85">
        <v>1005</v>
      </c>
      <c r="G85">
        <v>2015</v>
      </c>
      <c r="H85" t="s">
        <v>21</v>
      </c>
      <c r="I85" t="s">
        <v>81</v>
      </c>
      <c r="J85" s="7"/>
      <c r="K85" t="s">
        <v>68</v>
      </c>
    </row>
    <row r="86" spans="1:11">
      <c r="A86">
        <v>3085</v>
      </c>
      <c r="B86" t="s">
        <v>104</v>
      </c>
      <c r="C86" t="s">
        <v>71</v>
      </c>
      <c r="D86" s="7">
        <v>21678</v>
      </c>
      <c r="E86" s="7">
        <v>45690</v>
      </c>
      <c r="F86">
        <v>1006</v>
      </c>
      <c r="G86">
        <v>2018</v>
      </c>
      <c r="H86" t="s">
        <v>21</v>
      </c>
      <c r="I86" t="s">
        <v>67</v>
      </c>
      <c r="J86" s="7"/>
      <c r="K86" t="s">
        <v>68</v>
      </c>
    </row>
    <row r="87" spans="1:11">
      <c r="A87">
        <v>3086</v>
      </c>
      <c r="B87" t="s">
        <v>155</v>
      </c>
      <c r="C87" t="s">
        <v>169</v>
      </c>
      <c r="D87" s="7">
        <v>29862</v>
      </c>
      <c r="E87" s="7">
        <v>45177</v>
      </c>
      <c r="F87">
        <v>1002</v>
      </c>
      <c r="G87">
        <v>2006</v>
      </c>
      <c r="H87" t="s">
        <v>21</v>
      </c>
      <c r="I87" t="s">
        <v>72</v>
      </c>
      <c r="J87" s="7"/>
      <c r="K87" t="s">
        <v>68</v>
      </c>
    </row>
    <row r="88" spans="1:11">
      <c r="A88">
        <v>3087</v>
      </c>
      <c r="B88" t="s">
        <v>170</v>
      </c>
      <c r="C88" t="s">
        <v>129</v>
      </c>
      <c r="D88" s="7">
        <v>27304</v>
      </c>
      <c r="E88" s="7">
        <v>45816</v>
      </c>
      <c r="F88">
        <v>1003</v>
      </c>
      <c r="G88">
        <v>2007</v>
      </c>
      <c r="H88" t="s">
        <v>21</v>
      </c>
      <c r="I88" t="s">
        <v>67</v>
      </c>
      <c r="J88" s="7"/>
      <c r="K88" t="s">
        <v>68</v>
      </c>
    </row>
    <row r="89" spans="1:11">
      <c r="A89">
        <v>3088</v>
      </c>
      <c r="B89" t="s">
        <v>107</v>
      </c>
      <c r="C89" t="s">
        <v>151</v>
      </c>
      <c r="D89" s="7">
        <v>35767</v>
      </c>
      <c r="E89" s="7">
        <v>45510</v>
      </c>
      <c r="F89">
        <v>1005</v>
      </c>
      <c r="G89">
        <v>2015</v>
      </c>
      <c r="H89" t="s">
        <v>106</v>
      </c>
      <c r="I89" t="s">
        <v>72</v>
      </c>
      <c r="J89" s="7">
        <v>45604</v>
      </c>
      <c r="K89" t="s">
        <v>91</v>
      </c>
    </row>
    <row r="90" spans="1:11">
      <c r="A90">
        <v>3089</v>
      </c>
      <c r="B90" t="s">
        <v>168</v>
      </c>
      <c r="C90" t="s">
        <v>165</v>
      </c>
      <c r="D90" s="7">
        <v>34922</v>
      </c>
      <c r="E90" s="7">
        <v>46036</v>
      </c>
      <c r="F90">
        <v>1004</v>
      </c>
      <c r="G90">
        <v>2011</v>
      </c>
      <c r="H90" t="s">
        <v>86</v>
      </c>
      <c r="I90" t="s">
        <v>72</v>
      </c>
      <c r="J90" s="7"/>
      <c r="K90" t="s">
        <v>68</v>
      </c>
    </row>
    <row r="91" spans="1:11">
      <c r="A91">
        <v>3090</v>
      </c>
      <c r="B91" t="s">
        <v>159</v>
      </c>
      <c r="C91" t="s">
        <v>114</v>
      </c>
      <c r="D91" s="7">
        <v>28872</v>
      </c>
      <c r="E91" s="7">
        <v>45874</v>
      </c>
      <c r="F91">
        <v>1001</v>
      </c>
      <c r="G91">
        <v>2003</v>
      </c>
      <c r="H91" t="s">
        <v>21</v>
      </c>
      <c r="I91" t="s">
        <v>72</v>
      </c>
      <c r="J91" s="7"/>
      <c r="K91" t="s">
        <v>68</v>
      </c>
    </row>
    <row r="92" spans="1:11">
      <c r="A92">
        <v>3091</v>
      </c>
      <c r="B92" t="s">
        <v>171</v>
      </c>
      <c r="C92" t="s">
        <v>162</v>
      </c>
      <c r="D92" s="7">
        <v>29678</v>
      </c>
      <c r="E92" s="7">
        <v>45839</v>
      </c>
      <c r="F92">
        <v>1005</v>
      </c>
      <c r="G92">
        <v>2014</v>
      </c>
      <c r="H92" t="s">
        <v>21</v>
      </c>
      <c r="I92" t="s">
        <v>72</v>
      </c>
      <c r="J92" s="7"/>
      <c r="K92" t="s">
        <v>68</v>
      </c>
    </row>
    <row r="93" spans="1:11">
      <c r="A93">
        <v>3092</v>
      </c>
      <c r="B93" t="s">
        <v>128</v>
      </c>
      <c r="C93" t="s">
        <v>141</v>
      </c>
      <c r="D93" s="7">
        <v>25149</v>
      </c>
      <c r="E93" s="7">
        <v>45765</v>
      </c>
      <c r="F93">
        <v>1003</v>
      </c>
      <c r="G93">
        <v>2008</v>
      </c>
      <c r="H93" t="s">
        <v>21</v>
      </c>
      <c r="I93" t="s">
        <v>67</v>
      </c>
      <c r="J93" s="7"/>
      <c r="K93" t="s">
        <v>68</v>
      </c>
    </row>
    <row r="94" spans="1:11">
      <c r="A94">
        <v>3093</v>
      </c>
      <c r="B94" t="s">
        <v>107</v>
      </c>
      <c r="C94" t="s">
        <v>131</v>
      </c>
      <c r="D94" s="7">
        <v>34705</v>
      </c>
      <c r="E94" s="7">
        <v>45685</v>
      </c>
      <c r="F94">
        <v>1005</v>
      </c>
      <c r="G94">
        <v>2015</v>
      </c>
      <c r="H94" t="s">
        <v>21</v>
      </c>
      <c r="I94" t="s">
        <v>67</v>
      </c>
      <c r="J94" s="7"/>
      <c r="K94" t="s">
        <v>68</v>
      </c>
    </row>
    <row r="95" spans="1:11">
      <c r="A95">
        <v>3094</v>
      </c>
      <c r="B95" t="s">
        <v>69</v>
      </c>
      <c r="C95" t="s">
        <v>111</v>
      </c>
      <c r="D95" s="7">
        <v>25199</v>
      </c>
      <c r="E95" s="7">
        <v>45725</v>
      </c>
      <c r="F95">
        <v>1005</v>
      </c>
      <c r="G95">
        <v>2015</v>
      </c>
      <c r="H95" t="s">
        <v>21</v>
      </c>
      <c r="I95" t="s">
        <v>67</v>
      </c>
      <c r="J95" s="7"/>
      <c r="K95" t="s">
        <v>68</v>
      </c>
    </row>
    <row r="96" spans="1:11">
      <c r="A96">
        <v>3095</v>
      </c>
      <c r="B96" t="s">
        <v>117</v>
      </c>
      <c r="C96" t="s">
        <v>114</v>
      </c>
      <c r="D96" s="7">
        <v>27827</v>
      </c>
      <c r="E96" s="7">
        <v>45212</v>
      </c>
      <c r="F96">
        <v>1002</v>
      </c>
      <c r="G96">
        <v>2006</v>
      </c>
      <c r="H96" t="s">
        <v>21</v>
      </c>
      <c r="I96" t="s">
        <v>72</v>
      </c>
      <c r="J96" s="7"/>
      <c r="K96" t="s">
        <v>68</v>
      </c>
    </row>
    <row r="97" spans="1:11">
      <c r="A97">
        <v>3096</v>
      </c>
      <c r="B97" t="s">
        <v>153</v>
      </c>
      <c r="C97" t="s">
        <v>172</v>
      </c>
      <c r="D97" s="7">
        <v>34924</v>
      </c>
      <c r="E97" s="7">
        <v>45329</v>
      </c>
      <c r="F97">
        <v>1003</v>
      </c>
      <c r="G97">
        <v>2009</v>
      </c>
      <c r="H97" t="s">
        <v>106</v>
      </c>
      <c r="I97" t="s">
        <v>72</v>
      </c>
      <c r="J97" s="7">
        <v>45348</v>
      </c>
      <c r="K97" t="s">
        <v>149</v>
      </c>
    </row>
    <row r="98" spans="1:11">
      <c r="A98">
        <v>3097</v>
      </c>
      <c r="B98" t="s">
        <v>128</v>
      </c>
      <c r="C98" t="s">
        <v>144</v>
      </c>
      <c r="D98" s="7">
        <v>27112</v>
      </c>
      <c r="E98" s="7">
        <v>46097</v>
      </c>
      <c r="F98">
        <v>1004</v>
      </c>
      <c r="G98">
        <v>2012</v>
      </c>
      <c r="H98" t="s">
        <v>21</v>
      </c>
      <c r="I98" t="s">
        <v>81</v>
      </c>
      <c r="J98" s="7"/>
      <c r="K98" t="s">
        <v>68</v>
      </c>
    </row>
    <row r="99" spans="1:11">
      <c r="A99">
        <v>3098</v>
      </c>
      <c r="B99" t="s">
        <v>73</v>
      </c>
      <c r="C99" t="s">
        <v>136</v>
      </c>
      <c r="D99" s="7">
        <v>20595</v>
      </c>
      <c r="E99" s="7">
        <v>45429</v>
      </c>
      <c r="F99">
        <v>1001</v>
      </c>
      <c r="G99">
        <v>2003</v>
      </c>
      <c r="H99" t="s">
        <v>21</v>
      </c>
      <c r="I99" t="s">
        <v>72</v>
      </c>
      <c r="J99" s="7"/>
      <c r="K99" t="s">
        <v>68</v>
      </c>
    </row>
    <row r="100" spans="1:11">
      <c r="A100">
        <v>3099</v>
      </c>
      <c r="B100" t="s">
        <v>147</v>
      </c>
      <c r="C100" t="s">
        <v>173</v>
      </c>
      <c r="D100" s="7">
        <v>37125</v>
      </c>
      <c r="E100" s="7">
        <v>45971</v>
      </c>
      <c r="F100">
        <v>1005</v>
      </c>
      <c r="G100">
        <v>2014</v>
      </c>
      <c r="H100" t="s">
        <v>21</v>
      </c>
      <c r="I100" t="s">
        <v>67</v>
      </c>
      <c r="J100" s="7"/>
      <c r="K100" t="s">
        <v>68</v>
      </c>
    </row>
    <row r="101" spans="1:11">
      <c r="A101">
        <v>3100</v>
      </c>
      <c r="B101" t="s">
        <v>141</v>
      </c>
      <c r="C101" t="s">
        <v>131</v>
      </c>
      <c r="D101" s="7">
        <v>33346</v>
      </c>
      <c r="E101" s="7">
        <v>45727</v>
      </c>
      <c r="F101">
        <v>1005</v>
      </c>
      <c r="G101">
        <v>2013</v>
      </c>
      <c r="H101" t="s">
        <v>86</v>
      </c>
      <c r="I101" t="s">
        <v>67</v>
      </c>
      <c r="J101" s="7"/>
      <c r="K101" t="s">
        <v>68</v>
      </c>
    </row>
    <row r="102" spans="1:11">
      <c r="A102">
        <v>3101</v>
      </c>
      <c r="B102" t="s">
        <v>96</v>
      </c>
      <c r="C102" t="s">
        <v>74</v>
      </c>
      <c r="D102" s="7">
        <v>22090</v>
      </c>
      <c r="E102" s="7">
        <v>45544</v>
      </c>
      <c r="F102">
        <v>1004</v>
      </c>
      <c r="G102">
        <v>2012</v>
      </c>
      <c r="H102" t="s">
        <v>21</v>
      </c>
      <c r="I102" t="s">
        <v>67</v>
      </c>
      <c r="J102" s="7"/>
      <c r="K102" t="s">
        <v>68</v>
      </c>
    </row>
    <row r="103" spans="1:11">
      <c r="A103">
        <v>3102</v>
      </c>
      <c r="B103" t="s">
        <v>124</v>
      </c>
      <c r="C103" t="s">
        <v>160</v>
      </c>
      <c r="D103" s="7">
        <v>36926</v>
      </c>
      <c r="E103" s="7">
        <v>45272</v>
      </c>
      <c r="F103">
        <v>1003</v>
      </c>
      <c r="G103">
        <v>2009</v>
      </c>
      <c r="H103" t="s">
        <v>21</v>
      </c>
      <c r="I103" t="s">
        <v>67</v>
      </c>
      <c r="J103" s="7"/>
      <c r="K103" t="s">
        <v>68</v>
      </c>
    </row>
    <row r="104" spans="1:11">
      <c r="A104">
        <v>3103</v>
      </c>
      <c r="B104" t="s">
        <v>153</v>
      </c>
      <c r="C104" t="s">
        <v>174</v>
      </c>
      <c r="D104" s="7">
        <v>19908</v>
      </c>
      <c r="E104" s="7">
        <v>45593</v>
      </c>
      <c r="F104">
        <v>1004</v>
      </c>
      <c r="G104">
        <v>2012</v>
      </c>
      <c r="H104" t="s">
        <v>86</v>
      </c>
      <c r="I104" t="s">
        <v>72</v>
      </c>
      <c r="J104" s="7"/>
      <c r="K104" t="s">
        <v>68</v>
      </c>
    </row>
    <row r="105" spans="1:11">
      <c r="A105">
        <v>3104</v>
      </c>
      <c r="B105" t="s">
        <v>128</v>
      </c>
      <c r="C105" t="s">
        <v>175</v>
      </c>
      <c r="D105" s="7">
        <v>26487</v>
      </c>
      <c r="E105" s="7">
        <v>45660</v>
      </c>
      <c r="F105">
        <v>1003</v>
      </c>
      <c r="G105">
        <v>2009</v>
      </c>
      <c r="H105" t="s">
        <v>75</v>
      </c>
      <c r="I105" t="s">
        <v>67</v>
      </c>
      <c r="J105" s="7">
        <v>45869</v>
      </c>
      <c r="K105" t="s">
        <v>121</v>
      </c>
    </row>
    <row r="106" spans="1:11">
      <c r="A106">
        <v>3105</v>
      </c>
      <c r="B106" t="s">
        <v>147</v>
      </c>
      <c r="C106" t="s">
        <v>141</v>
      </c>
      <c r="D106" s="7">
        <v>21178</v>
      </c>
      <c r="E106" s="7">
        <v>45241</v>
      </c>
      <c r="F106">
        <v>1002</v>
      </c>
      <c r="G106">
        <v>2005</v>
      </c>
      <c r="H106" t="s">
        <v>106</v>
      </c>
      <c r="I106" t="s">
        <v>81</v>
      </c>
      <c r="J106" s="7">
        <v>45417</v>
      </c>
      <c r="K106" t="s">
        <v>76</v>
      </c>
    </row>
    <row r="107" spans="1:11">
      <c r="A107">
        <v>3106</v>
      </c>
      <c r="B107" t="s">
        <v>170</v>
      </c>
      <c r="C107" t="s">
        <v>70</v>
      </c>
      <c r="D107" s="7">
        <v>28803</v>
      </c>
      <c r="E107" s="7">
        <v>45943</v>
      </c>
      <c r="F107">
        <v>1005</v>
      </c>
      <c r="G107">
        <v>2014</v>
      </c>
      <c r="H107" t="s">
        <v>21</v>
      </c>
      <c r="I107" t="s">
        <v>72</v>
      </c>
      <c r="J107" s="7"/>
      <c r="K107" t="s">
        <v>68</v>
      </c>
    </row>
    <row r="108" spans="1:11">
      <c r="A108">
        <v>3107</v>
      </c>
      <c r="B108" t="s">
        <v>147</v>
      </c>
      <c r="C108" t="s">
        <v>99</v>
      </c>
      <c r="D108" s="7">
        <v>32995</v>
      </c>
      <c r="E108" s="7">
        <v>45779</v>
      </c>
      <c r="F108">
        <v>1005</v>
      </c>
      <c r="G108">
        <v>2014</v>
      </c>
      <c r="H108" t="s">
        <v>21</v>
      </c>
      <c r="I108" t="s">
        <v>72</v>
      </c>
      <c r="J108" s="7"/>
      <c r="K108" t="s">
        <v>68</v>
      </c>
    </row>
    <row r="109" spans="1:11">
      <c r="A109">
        <v>3108</v>
      </c>
      <c r="B109" t="s">
        <v>103</v>
      </c>
      <c r="C109" t="s">
        <v>176</v>
      </c>
      <c r="D109" s="7">
        <v>37687</v>
      </c>
      <c r="E109" s="7">
        <v>45161</v>
      </c>
      <c r="F109">
        <v>1001</v>
      </c>
      <c r="G109">
        <v>2002</v>
      </c>
      <c r="H109" t="s">
        <v>21</v>
      </c>
      <c r="I109" t="s">
        <v>72</v>
      </c>
      <c r="J109" s="7"/>
      <c r="K109" t="s">
        <v>68</v>
      </c>
    </row>
    <row r="110" spans="1:11">
      <c r="A110">
        <v>3109</v>
      </c>
      <c r="B110" t="s">
        <v>110</v>
      </c>
      <c r="C110" t="s">
        <v>71</v>
      </c>
      <c r="D110" s="7">
        <v>34256</v>
      </c>
      <c r="E110" s="7">
        <v>46181</v>
      </c>
      <c r="F110">
        <v>1003</v>
      </c>
      <c r="G110">
        <v>2009</v>
      </c>
      <c r="H110" t="s">
        <v>21</v>
      </c>
      <c r="I110" t="s">
        <v>72</v>
      </c>
      <c r="J110" s="7"/>
      <c r="K110" t="s">
        <v>68</v>
      </c>
    </row>
    <row r="111" spans="1:11">
      <c r="A111">
        <v>3110</v>
      </c>
      <c r="B111" t="s">
        <v>177</v>
      </c>
      <c r="C111" t="s">
        <v>164</v>
      </c>
      <c r="D111" s="7">
        <v>34951</v>
      </c>
      <c r="E111" s="7">
        <v>45305</v>
      </c>
      <c r="F111">
        <v>1003</v>
      </c>
      <c r="G111">
        <v>2007</v>
      </c>
      <c r="H111" t="s">
        <v>106</v>
      </c>
      <c r="I111" t="s">
        <v>67</v>
      </c>
      <c r="J111" s="7">
        <v>45793</v>
      </c>
      <c r="K111" t="s">
        <v>76</v>
      </c>
    </row>
    <row r="112" spans="1:11">
      <c r="A112">
        <v>3111</v>
      </c>
      <c r="B112" t="s">
        <v>153</v>
      </c>
      <c r="C112" t="s">
        <v>178</v>
      </c>
      <c r="D112" s="7">
        <v>32327</v>
      </c>
      <c r="E112" s="7">
        <v>46133</v>
      </c>
      <c r="F112">
        <v>1003</v>
      </c>
      <c r="G112">
        <v>2009</v>
      </c>
      <c r="H112" t="s">
        <v>21</v>
      </c>
      <c r="I112" t="s">
        <v>67</v>
      </c>
      <c r="J112" s="7"/>
      <c r="K112" t="s">
        <v>68</v>
      </c>
    </row>
    <row r="113" spans="1:11">
      <c r="A113">
        <v>3112</v>
      </c>
      <c r="B113" t="s">
        <v>82</v>
      </c>
      <c r="C113" t="s">
        <v>118</v>
      </c>
      <c r="D113" s="7">
        <v>29432</v>
      </c>
      <c r="E113" s="7">
        <v>45356</v>
      </c>
      <c r="F113">
        <v>1004</v>
      </c>
      <c r="G113">
        <v>2011</v>
      </c>
      <c r="H113" t="s">
        <v>21</v>
      </c>
      <c r="I113" t="s">
        <v>67</v>
      </c>
      <c r="J113" s="7"/>
      <c r="K113" t="s">
        <v>68</v>
      </c>
    </row>
    <row r="114" spans="1:11">
      <c r="A114">
        <v>3113</v>
      </c>
      <c r="B114" t="s">
        <v>148</v>
      </c>
      <c r="C114" t="s">
        <v>109</v>
      </c>
      <c r="D114" s="7">
        <v>32380</v>
      </c>
      <c r="E114" s="7">
        <v>45230</v>
      </c>
      <c r="F114">
        <v>1005</v>
      </c>
      <c r="G114">
        <v>2013</v>
      </c>
      <c r="H114" t="s">
        <v>21</v>
      </c>
      <c r="I114" t="s">
        <v>72</v>
      </c>
      <c r="J114" s="7"/>
      <c r="K114" t="s">
        <v>68</v>
      </c>
    </row>
    <row r="115" spans="1:11">
      <c r="A115">
        <v>3114</v>
      </c>
      <c r="B115" t="s">
        <v>170</v>
      </c>
      <c r="C115" t="s">
        <v>114</v>
      </c>
      <c r="D115" s="7">
        <v>20530</v>
      </c>
      <c r="E115" s="7">
        <v>45535</v>
      </c>
      <c r="F115">
        <v>1003</v>
      </c>
      <c r="G115">
        <v>2009</v>
      </c>
      <c r="H115" t="s">
        <v>86</v>
      </c>
      <c r="I115" t="s">
        <v>72</v>
      </c>
      <c r="J115" s="7"/>
      <c r="K115" t="s">
        <v>68</v>
      </c>
    </row>
    <row r="116" spans="1:11">
      <c r="A116">
        <v>3115</v>
      </c>
      <c r="B116" t="s">
        <v>96</v>
      </c>
      <c r="C116" t="s">
        <v>173</v>
      </c>
      <c r="D116" s="7">
        <v>22817</v>
      </c>
      <c r="E116" s="7">
        <v>45178</v>
      </c>
      <c r="F116">
        <v>1002</v>
      </c>
      <c r="G116">
        <v>2006</v>
      </c>
      <c r="H116" t="s">
        <v>21</v>
      </c>
      <c r="I116" t="s">
        <v>72</v>
      </c>
      <c r="J116" s="7"/>
      <c r="K116" t="s">
        <v>68</v>
      </c>
    </row>
    <row r="117" spans="1:11">
      <c r="A117">
        <v>3116</v>
      </c>
      <c r="B117" t="s">
        <v>69</v>
      </c>
      <c r="C117" t="s">
        <v>105</v>
      </c>
      <c r="D117" s="7">
        <v>32208</v>
      </c>
      <c r="E117" s="7">
        <v>45309</v>
      </c>
      <c r="F117">
        <v>1002</v>
      </c>
      <c r="G117">
        <v>2005</v>
      </c>
      <c r="H117" t="s">
        <v>21</v>
      </c>
      <c r="I117" t="s">
        <v>67</v>
      </c>
      <c r="J117" s="7"/>
      <c r="K117" t="s">
        <v>68</v>
      </c>
    </row>
    <row r="118" spans="1:11">
      <c r="A118">
        <v>3117</v>
      </c>
      <c r="B118" t="s">
        <v>179</v>
      </c>
      <c r="C118" t="s">
        <v>180</v>
      </c>
      <c r="D118" s="7">
        <v>23884</v>
      </c>
      <c r="E118" s="7">
        <v>46139</v>
      </c>
      <c r="F118">
        <v>1001</v>
      </c>
      <c r="G118">
        <v>2003</v>
      </c>
      <c r="H118" t="s">
        <v>106</v>
      </c>
      <c r="I118" t="s">
        <v>72</v>
      </c>
      <c r="J118" s="7">
        <v>46183</v>
      </c>
      <c r="K118" t="s">
        <v>149</v>
      </c>
    </row>
    <row r="119" spans="1:11">
      <c r="A119">
        <v>3118</v>
      </c>
      <c r="B119" t="s">
        <v>89</v>
      </c>
      <c r="C119" t="s">
        <v>173</v>
      </c>
      <c r="D119" s="7">
        <v>36902</v>
      </c>
      <c r="E119" s="7">
        <v>45415</v>
      </c>
      <c r="F119">
        <v>1004</v>
      </c>
      <c r="G119">
        <v>2012</v>
      </c>
      <c r="H119" t="s">
        <v>106</v>
      </c>
      <c r="I119" t="s">
        <v>67</v>
      </c>
      <c r="J119" s="7">
        <v>45814</v>
      </c>
      <c r="K119" t="s">
        <v>91</v>
      </c>
    </row>
    <row r="120" spans="1:11">
      <c r="A120">
        <v>3119</v>
      </c>
      <c r="B120" t="s">
        <v>170</v>
      </c>
      <c r="C120" t="s">
        <v>144</v>
      </c>
      <c r="D120" s="7">
        <v>27891</v>
      </c>
      <c r="E120" s="7">
        <v>45968</v>
      </c>
      <c r="F120">
        <v>1005</v>
      </c>
      <c r="G120">
        <v>2015</v>
      </c>
      <c r="H120" t="s">
        <v>75</v>
      </c>
      <c r="I120" t="s">
        <v>81</v>
      </c>
      <c r="J120" s="7">
        <v>46062</v>
      </c>
      <c r="K120" t="s">
        <v>149</v>
      </c>
    </row>
    <row r="121" spans="1:11">
      <c r="A121">
        <v>3120</v>
      </c>
      <c r="B121" t="s">
        <v>141</v>
      </c>
      <c r="C121" t="s">
        <v>181</v>
      </c>
      <c r="D121" s="7">
        <v>37841</v>
      </c>
      <c r="E121" s="7">
        <v>46121</v>
      </c>
      <c r="F121">
        <v>1001</v>
      </c>
      <c r="G121">
        <v>2003</v>
      </c>
      <c r="H121" t="s">
        <v>86</v>
      </c>
      <c r="I121" t="s">
        <v>81</v>
      </c>
      <c r="J121" s="7"/>
      <c r="K121" t="s">
        <v>68</v>
      </c>
    </row>
    <row r="122" spans="1:11">
      <c r="A122">
        <v>3121</v>
      </c>
      <c r="B122" t="s">
        <v>132</v>
      </c>
      <c r="C122" t="s">
        <v>88</v>
      </c>
      <c r="D122" s="7">
        <v>36646</v>
      </c>
      <c r="E122" s="7">
        <v>45891</v>
      </c>
      <c r="F122">
        <v>1004</v>
      </c>
      <c r="G122">
        <v>2012</v>
      </c>
      <c r="H122" t="s">
        <v>21</v>
      </c>
      <c r="I122" t="s">
        <v>72</v>
      </c>
      <c r="J122" s="7"/>
      <c r="K122" t="s">
        <v>68</v>
      </c>
    </row>
    <row r="123" spans="1:11">
      <c r="A123">
        <v>3122</v>
      </c>
      <c r="B123" t="s">
        <v>163</v>
      </c>
      <c r="C123" t="s">
        <v>141</v>
      </c>
      <c r="D123" s="7">
        <v>32299</v>
      </c>
      <c r="E123" s="7">
        <v>45208</v>
      </c>
      <c r="F123">
        <v>1002</v>
      </c>
      <c r="G123">
        <v>2005</v>
      </c>
      <c r="H123" t="s">
        <v>21</v>
      </c>
      <c r="I123" t="s">
        <v>67</v>
      </c>
      <c r="J123" s="7"/>
      <c r="K123" t="s">
        <v>68</v>
      </c>
    </row>
    <row r="124" spans="1:11">
      <c r="A124">
        <v>3123</v>
      </c>
      <c r="B124" t="s">
        <v>182</v>
      </c>
      <c r="C124" t="s">
        <v>93</v>
      </c>
      <c r="D124" s="7">
        <v>23823</v>
      </c>
      <c r="E124" s="7">
        <v>46133</v>
      </c>
      <c r="F124">
        <v>1004</v>
      </c>
      <c r="G124">
        <v>2012</v>
      </c>
      <c r="H124" t="s">
        <v>21</v>
      </c>
      <c r="I124" t="s">
        <v>72</v>
      </c>
      <c r="J124" s="7"/>
      <c r="K124" t="s">
        <v>68</v>
      </c>
    </row>
    <row r="125" spans="1:11">
      <c r="A125">
        <v>3124</v>
      </c>
      <c r="B125" t="s">
        <v>98</v>
      </c>
      <c r="C125" t="s">
        <v>162</v>
      </c>
      <c r="D125" s="7">
        <v>33266</v>
      </c>
      <c r="E125" s="7">
        <v>45323</v>
      </c>
      <c r="F125">
        <v>1005</v>
      </c>
      <c r="G125">
        <v>2015</v>
      </c>
      <c r="H125" t="s">
        <v>21</v>
      </c>
      <c r="I125" t="s">
        <v>67</v>
      </c>
      <c r="J125" s="7"/>
      <c r="K125" t="s">
        <v>68</v>
      </c>
    </row>
    <row r="126" spans="1:11">
      <c r="A126">
        <v>3125</v>
      </c>
      <c r="B126" t="s">
        <v>159</v>
      </c>
      <c r="C126" t="s">
        <v>139</v>
      </c>
      <c r="D126" s="7">
        <v>23897</v>
      </c>
      <c r="E126" s="7">
        <v>45272</v>
      </c>
      <c r="F126">
        <v>1001</v>
      </c>
      <c r="G126">
        <v>2002</v>
      </c>
      <c r="H126" t="s">
        <v>21</v>
      </c>
      <c r="I126" t="s">
        <v>72</v>
      </c>
      <c r="J126" s="7"/>
      <c r="K126" t="s">
        <v>68</v>
      </c>
    </row>
    <row r="127" spans="1:11">
      <c r="A127">
        <v>3126</v>
      </c>
      <c r="B127" t="s">
        <v>183</v>
      </c>
      <c r="C127" t="s">
        <v>176</v>
      </c>
      <c r="D127" s="7">
        <v>21470</v>
      </c>
      <c r="E127" s="7">
        <v>45791</v>
      </c>
      <c r="F127">
        <v>1003</v>
      </c>
      <c r="G127">
        <v>2008</v>
      </c>
      <c r="H127" t="s">
        <v>21</v>
      </c>
      <c r="I127" t="s">
        <v>67</v>
      </c>
      <c r="J127" s="7"/>
      <c r="K127" t="s">
        <v>68</v>
      </c>
    </row>
    <row r="128" spans="1:11">
      <c r="A128">
        <v>3127</v>
      </c>
      <c r="B128" t="s">
        <v>166</v>
      </c>
      <c r="C128" t="s">
        <v>138</v>
      </c>
      <c r="D128" s="7">
        <v>34828</v>
      </c>
      <c r="E128" s="7">
        <v>45192</v>
      </c>
      <c r="F128">
        <v>1005</v>
      </c>
      <c r="G128">
        <v>2014</v>
      </c>
      <c r="H128" t="s">
        <v>106</v>
      </c>
      <c r="I128" t="s">
        <v>72</v>
      </c>
      <c r="J128" s="7">
        <v>45831</v>
      </c>
      <c r="K128" t="s">
        <v>142</v>
      </c>
    </row>
    <row r="129" spans="1:11">
      <c r="A129">
        <v>3128</v>
      </c>
      <c r="B129" t="s">
        <v>179</v>
      </c>
      <c r="C129" t="s">
        <v>122</v>
      </c>
      <c r="D129" s="7">
        <v>33059</v>
      </c>
      <c r="E129" s="7">
        <v>45320</v>
      </c>
      <c r="F129">
        <v>1006</v>
      </c>
      <c r="G129">
        <v>2018</v>
      </c>
      <c r="H129" t="s">
        <v>106</v>
      </c>
      <c r="I129" t="s">
        <v>72</v>
      </c>
      <c r="J129" s="7">
        <v>46105</v>
      </c>
      <c r="K129" t="s">
        <v>112</v>
      </c>
    </row>
    <row r="130" spans="1:11">
      <c r="A130">
        <v>3129</v>
      </c>
      <c r="B130" t="s">
        <v>163</v>
      </c>
      <c r="C130" t="s">
        <v>139</v>
      </c>
      <c r="D130" s="7">
        <v>19787</v>
      </c>
      <c r="E130" s="7">
        <v>45213</v>
      </c>
      <c r="F130">
        <v>1001</v>
      </c>
      <c r="G130">
        <v>2003</v>
      </c>
      <c r="H130" t="s">
        <v>21</v>
      </c>
      <c r="I130" t="s">
        <v>67</v>
      </c>
      <c r="J130" s="7"/>
      <c r="K130" t="s">
        <v>68</v>
      </c>
    </row>
    <row r="131" spans="1:11">
      <c r="A131">
        <v>3130</v>
      </c>
      <c r="B131" t="s">
        <v>184</v>
      </c>
      <c r="C131" t="s">
        <v>176</v>
      </c>
      <c r="D131" s="7">
        <v>26840</v>
      </c>
      <c r="E131" s="7">
        <v>45962</v>
      </c>
      <c r="F131">
        <v>1001</v>
      </c>
      <c r="G131">
        <v>2003</v>
      </c>
      <c r="H131" t="s">
        <v>21</v>
      </c>
      <c r="I131" t="s">
        <v>67</v>
      </c>
      <c r="J131" s="7"/>
      <c r="K131" t="s">
        <v>68</v>
      </c>
    </row>
    <row r="132" spans="1:11">
      <c r="A132">
        <v>3131</v>
      </c>
      <c r="B132" t="s">
        <v>155</v>
      </c>
      <c r="C132" t="s">
        <v>131</v>
      </c>
      <c r="D132" s="7">
        <v>31374</v>
      </c>
      <c r="E132" s="7">
        <v>45612</v>
      </c>
      <c r="F132">
        <v>1002</v>
      </c>
      <c r="G132">
        <v>2005</v>
      </c>
      <c r="H132" t="s">
        <v>21</v>
      </c>
      <c r="I132" t="s">
        <v>72</v>
      </c>
      <c r="J132" s="7"/>
      <c r="K132" t="s">
        <v>68</v>
      </c>
    </row>
    <row r="133" spans="1:11">
      <c r="A133">
        <v>3132</v>
      </c>
      <c r="B133" t="s">
        <v>185</v>
      </c>
      <c r="C133" t="s">
        <v>136</v>
      </c>
      <c r="D133" s="7">
        <v>27205</v>
      </c>
      <c r="E133" s="7">
        <v>45138</v>
      </c>
      <c r="F133">
        <v>1002</v>
      </c>
      <c r="G133">
        <v>2005</v>
      </c>
      <c r="H133" t="s">
        <v>21</v>
      </c>
      <c r="I133" t="s">
        <v>67</v>
      </c>
      <c r="J133" s="7"/>
      <c r="K133" t="s">
        <v>68</v>
      </c>
    </row>
    <row r="134" spans="1:11">
      <c r="A134">
        <v>3133</v>
      </c>
      <c r="B134" t="s">
        <v>113</v>
      </c>
      <c r="C134" t="s">
        <v>150</v>
      </c>
      <c r="D134" s="7">
        <v>33313</v>
      </c>
      <c r="E134" s="7">
        <v>45826</v>
      </c>
      <c r="F134">
        <v>1004</v>
      </c>
      <c r="G134">
        <v>2012</v>
      </c>
      <c r="H134" t="s">
        <v>21</v>
      </c>
      <c r="I134" t="s">
        <v>67</v>
      </c>
      <c r="J134" s="7"/>
      <c r="K134" t="s">
        <v>68</v>
      </c>
    </row>
    <row r="135" spans="1:11">
      <c r="A135">
        <v>3134</v>
      </c>
      <c r="B135" t="s">
        <v>157</v>
      </c>
      <c r="C135" t="s">
        <v>169</v>
      </c>
      <c r="D135" s="7">
        <v>28738</v>
      </c>
      <c r="E135" s="7">
        <v>45526</v>
      </c>
      <c r="F135">
        <v>1006</v>
      </c>
      <c r="G135">
        <v>2018</v>
      </c>
      <c r="H135" t="s">
        <v>86</v>
      </c>
      <c r="I135" t="s">
        <v>72</v>
      </c>
      <c r="J135" s="7"/>
      <c r="K135" t="s">
        <v>68</v>
      </c>
    </row>
    <row r="136" spans="1:11">
      <c r="A136">
        <v>3135</v>
      </c>
      <c r="B136" t="s">
        <v>171</v>
      </c>
      <c r="C136" t="s">
        <v>80</v>
      </c>
      <c r="D136" s="7">
        <v>37674</v>
      </c>
      <c r="E136" s="7">
        <v>45724</v>
      </c>
      <c r="F136">
        <v>1004</v>
      </c>
      <c r="G136">
        <v>2011</v>
      </c>
      <c r="H136" t="s">
        <v>21</v>
      </c>
      <c r="I136" t="s">
        <v>72</v>
      </c>
      <c r="J136" s="7"/>
      <c r="K136" t="s">
        <v>68</v>
      </c>
    </row>
    <row r="137" spans="1:11">
      <c r="A137">
        <v>3136</v>
      </c>
      <c r="B137" t="s">
        <v>161</v>
      </c>
      <c r="C137" t="s">
        <v>80</v>
      </c>
      <c r="D137" s="7">
        <v>20446</v>
      </c>
      <c r="E137" s="7">
        <v>46136</v>
      </c>
      <c r="F137">
        <v>1001</v>
      </c>
      <c r="G137">
        <v>2003</v>
      </c>
      <c r="H137" t="s">
        <v>21</v>
      </c>
      <c r="I137" t="s">
        <v>72</v>
      </c>
      <c r="J137" s="7"/>
      <c r="K137" t="s">
        <v>68</v>
      </c>
    </row>
    <row r="138" spans="1:11">
      <c r="A138">
        <v>3137</v>
      </c>
      <c r="B138" t="s">
        <v>96</v>
      </c>
      <c r="C138" t="s">
        <v>66</v>
      </c>
      <c r="D138" s="7">
        <v>27051</v>
      </c>
      <c r="E138" s="7">
        <v>45399</v>
      </c>
      <c r="F138">
        <v>1002</v>
      </c>
      <c r="G138">
        <v>2006</v>
      </c>
      <c r="H138" t="s">
        <v>21</v>
      </c>
      <c r="I138" t="s">
        <v>67</v>
      </c>
      <c r="J138" s="7"/>
      <c r="K138" t="s">
        <v>68</v>
      </c>
    </row>
    <row r="139" spans="1:11">
      <c r="A139">
        <v>3138</v>
      </c>
      <c r="B139" t="s">
        <v>107</v>
      </c>
      <c r="C139" t="s">
        <v>93</v>
      </c>
      <c r="D139" s="7">
        <v>37830</v>
      </c>
      <c r="E139" s="7">
        <v>45866</v>
      </c>
      <c r="F139">
        <v>1006</v>
      </c>
      <c r="G139">
        <v>2017</v>
      </c>
      <c r="H139" t="s">
        <v>21</v>
      </c>
      <c r="I139" t="s">
        <v>67</v>
      </c>
      <c r="J139" s="7"/>
      <c r="K139" t="s">
        <v>68</v>
      </c>
    </row>
    <row r="140" spans="1:11">
      <c r="A140">
        <v>3139</v>
      </c>
      <c r="B140" t="s">
        <v>168</v>
      </c>
      <c r="C140" t="s">
        <v>175</v>
      </c>
      <c r="D140" s="7">
        <v>25418</v>
      </c>
      <c r="E140" s="7">
        <v>45389</v>
      </c>
      <c r="F140">
        <v>1001</v>
      </c>
      <c r="G140">
        <v>2003</v>
      </c>
      <c r="H140" t="s">
        <v>21</v>
      </c>
      <c r="I140" t="s">
        <v>67</v>
      </c>
      <c r="J140" s="7"/>
      <c r="K140" t="s">
        <v>68</v>
      </c>
    </row>
    <row r="141" spans="1:11">
      <c r="A141">
        <v>3140</v>
      </c>
      <c r="B141" t="s">
        <v>89</v>
      </c>
      <c r="C141" t="s">
        <v>144</v>
      </c>
      <c r="D141" s="7">
        <v>24230</v>
      </c>
      <c r="E141" s="7">
        <v>45645</v>
      </c>
      <c r="F141">
        <v>1003</v>
      </c>
      <c r="G141">
        <v>2009</v>
      </c>
      <c r="H141" t="s">
        <v>21</v>
      </c>
      <c r="I141" t="s">
        <v>67</v>
      </c>
      <c r="J141" s="7"/>
      <c r="K141" t="s">
        <v>68</v>
      </c>
    </row>
    <row r="142" spans="1:11">
      <c r="A142">
        <v>3141</v>
      </c>
      <c r="B142" t="s">
        <v>115</v>
      </c>
      <c r="C142" t="s">
        <v>181</v>
      </c>
      <c r="D142" s="7">
        <v>22612</v>
      </c>
      <c r="E142" s="7">
        <v>46078</v>
      </c>
      <c r="F142">
        <v>1004</v>
      </c>
      <c r="G142">
        <v>2012</v>
      </c>
      <c r="H142" t="s">
        <v>86</v>
      </c>
      <c r="I142" t="s">
        <v>67</v>
      </c>
      <c r="J142" s="7"/>
      <c r="K142" t="s">
        <v>68</v>
      </c>
    </row>
    <row r="143" spans="1:11">
      <c r="A143">
        <v>3142</v>
      </c>
      <c r="B143" t="s">
        <v>186</v>
      </c>
      <c r="C143" t="s">
        <v>99</v>
      </c>
      <c r="D143" s="7">
        <v>30824</v>
      </c>
      <c r="E143" s="7">
        <v>45303</v>
      </c>
      <c r="F143">
        <v>1002</v>
      </c>
      <c r="G143">
        <v>2006</v>
      </c>
      <c r="H143" t="s">
        <v>106</v>
      </c>
      <c r="I143" t="s">
        <v>81</v>
      </c>
      <c r="J143" s="7">
        <v>46119</v>
      </c>
      <c r="K143" t="s">
        <v>121</v>
      </c>
    </row>
    <row r="144" spans="1:11">
      <c r="A144">
        <v>3143</v>
      </c>
      <c r="B144" t="s">
        <v>187</v>
      </c>
      <c r="C144" t="s">
        <v>138</v>
      </c>
      <c r="D144" s="7">
        <v>27429</v>
      </c>
      <c r="E144" s="7">
        <v>45899</v>
      </c>
      <c r="F144">
        <v>1005</v>
      </c>
      <c r="G144">
        <v>2013</v>
      </c>
      <c r="H144" t="s">
        <v>21</v>
      </c>
      <c r="I144" t="s">
        <v>72</v>
      </c>
      <c r="J144" s="7"/>
      <c r="K144" t="s">
        <v>68</v>
      </c>
    </row>
    <row r="145" spans="1:11">
      <c r="A145">
        <v>3144</v>
      </c>
      <c r="B145" t="s">
        <v>89</v>
      </c>
      <c r="C145" t="s">
        <v>133</v>
      </c>
      <c r="D145" s="7">
        <v>39140</v>
      </c>
      <c r="E145" s="7">
        <v>45790</v>
      </c>
      <c r="F145">
        <v>1003</v>
      </c>
      <c r="G145">
        <v>2007</v>
      </c>
      <c r="H145" t="s">
        <v>21</v>
      </c>
      <c r="I145" t="s">
        <v>72</v>
      </c>
      <c r="J145" s="7"/>
      <c r="K145" t="s">
        <v>68</v>
      </c>
    </row>
    <row r="146" spans="1:11">
      <c r="A146">
        <v>3145</v>
      </c>
      <c r="B146" t="s">
        <v>128</v>
      </c>
      <c r="C146" t="s">
        <v>93</v>
      </c>
      <c r="D146" s="7">
        <v>28741</v>
      </c>
      <c r="E146" s="7">
        <v>45955</v>
      </c>
      <c r="F146">
        <v>1002</v>
      </c>
      <c r="G146">
        <v>2005</v>
      </c>
      <c r="H146" t="s">
        <v>21</v>
      </c>
      <c r="I146" t="s">
        <v>72</v>
      </c>
      <c r="J146" s="7"/>
      <c r="K146" t="s">
        <v>68</v>
      </c>
    </row>
    <row r="147" spans="1:11">
      <c r="A147">
        <v>3146</v>
      </c>
      <c r="B147" t="s">
        <v>104</v>
      </c>
      <c r="C147" t="s">
        <v>175</v>
      </c>
      <c r="D147" s="7">
        <v>22023</v>
      </c>
      <c r="E147" s="7">
        <v>45599</v>
      </c>
      <c r="F147">
        <v>1001</v>
      </c>
      <c r="G147">
        <v>2002</v>
      </c>
      <c r="H147" t="s">
        <v>21</v>
      </c>
      <c r="I147" t="s">
        <v>72</v>
      </c>
      <c r="J147" s="7"/>
      <c r="K147" t="s">
        <v>68</v>
      </c>
    </row>
    <row r="148" spans="1:11">
      <c r="A148">
        <v>3147</v>
      </c>
      <c r="B148" t="s">
        <v>113</v>
      </c>
      <c r="C148" t="s">
        <v>141</v>
      </c>
      <c r="D148" s="7">
        <v>36540</v>
      </c>
      <c r="E148" s="7">
        <v>45977</v>
      </c>
      <c r="F148">
        <v>1002</v>
      </c>
      <c r="G148">
        <v>2006</v>
      </c>
      <c r="H148" t="s">
        <v>21</v>
      </c>
      <c r="I148" t="s">
        <v>72</v>
      </c>
      <c r="J148" s="7"/>
      <c r="K148" t="s">
        <v>68</v>
      </c>
    </row>
    <row r="149" spans="1:11">
      <c r="A149">
        <v>3148</v>
      </c>
      <c r="B149" t="s">
        <v>182</v>
      </c>
      <c r="C149" t="s">
        <v>127</v>
      </c>
      <c r="D149" s="7">
        <v>34873</v>
      </c>
      <c r="E149" s="7">
        <v>45954</v>
      </c>
      <c r="F149">
        <v>1006</v>
      </c>
      <c r="G149">
        <v>2017</v>
      </c>
      <c r="H149" t="s">
        <v>106</v>
      </c>
      <c r="I149" t="s">
        <v>72</v>
      </c>
      <c r="J149" s="7">
        <v>46201</v>
      </c>
      <c r="K149" t="s">
        <v>76</v>
      </c>
    </row>
    <row r="150" spans="1:11">
      <c r="A150">
        <v>3149</v>
      </c>
      <c r="B150" t="s">
        <v>87</v>
      </c>
      <c r="C150" t="s">
        <v>111</v>
      </c>
      <c r="D150" s="7">
        <v>30723</v>
      </c>
      <c r="E150" s="7">
        <v>45322</v>
      </c>
      <c r="F150">
        <v>1003</v>
      </c>
      <c r="G150">
        <v>2007</v>
      </c>
      <c r="H150" t="s">
        <v>21</v>
      </c>
      <c r="I150" t="s">
        <v>81</v>
      </c>
      <c r="J150" s="7"/>
      <c r="K150" t="s">
        <v>68</v>
      </c>
    </row>
    <row r="151" spans="1:11">
      <c r="A151">
        <v>3150</v>
      </c>
      <c r="B151" t="s">
        <v>183</v>
      </c>
      <c r="C151" t="s">
        <v>144</v>
      </c>
      <c r="D151" s="7">
        <v>25058</v>
      </c>
      <c r="E151" s="7">
        <v>45369</v>
      </c>
      <c r="F151">
        <v>1005</v>
      </c>
      <c r="G151">
        <v>2015</v>
      </c>
      <c r="H151" t="s">
        <v>21</v>
      </c>
      <c r="I151" t="s">
        <v>67</v>
      </c>
      <c r="J151" s="7"/>
      <c r="K151" t="s">
        <v>68</v>
      </c>
    </row>
    <row r="152" spans="1:11">
      <c r="A152">
        <v>3151</v>
      </c>
      <c r="B152" t="s">
        <v>117</v>
      </c>
      <c r="C152" t="s">
        <v>139</v>
      </c>
      <c r="D152" s="7">
        <v>38406</v>
      </c>
      <c r="E152" s="7">
        <v>45162</v>
      </c>
      <c r="F152">
        <v>1004</v>
      </c>
      <c r="G152">
        <v>2011</v>
      </c>
      <c r="H152" t="s">
        <v>21</v>
      </c>
      <c r="I152" t="s">
        <v>72</v>
      </c>
      <c r="J152" s="7"/>
      <c r="K152" t="s">
        <v>68</v>
      </c>
    </row>
    <row r="153" spans="1:11">
      <c r="A153">
        <v>3152</v>
      </c>
      <c r="B153" t="s">
        <v>188</v>
      </c>
      <c r="C153" t="s">
        <v>131</v>
      </c>
      <c r="D153" s="7">
        <v>25563</v>
      </c>
      <c r="E153" s="7">
        <v>45259</v>
      </c>
      <c r="F153">
        <v>1003</v>
      </c>
      <c r="G153">
        <v>2007</v>
      </c>
      <c r="H153" t="s">
        <v>106</v>
      </c>
      <c r="I153" t="s">
        <v>72</v>
      </c>
      <c r="J153" s="7">
        <v>46115</v>
      </c>
      <c r="K153" t="s">
        <v>149</v>
      </c>
    </row>
    <row r="154" spans="1:11">
      <c r="A154">
        <v>3153</v>
      </c>
      <c r="B154" t="s">
        <v>170</v>
      </c>
      <c r="C154" t="s">
        <v>169</v>
      </c>
      <c r="D154" s="7">
        <v>38368</v>
      </c>
      <c r="E154" s="7">
        <v>45124</v>
      </c>
      <c r="F154">
        <v>1002</v>
      </c>
      <c r="G154">
        <v>2005</v>
      </c>
      <c r="H154" t="s">
        <v>21</v>
      </c>
      <c r="I154" t="s">
        <v>67</v>
      </c>
      <c r="J154" s="7"/>
      <c r="K154" t="s">
        <v>68</v>
      </c>
    </row>
    <row r="155" spans="1:11">
      <c r="A155">
        <v>3154</v>
      </c>
      <c r="B155" t="s">
        <v>119</v>
      </c>
      <c r="C155" t="s">
        <v>160</v>
      </c>
      <c r="D155" s="7">
        <v>22441</v>
      </c>
      <c r="E155" s="7">
        <v>45171</v>
      </c>
      <c r="F155">
        <v>1002</v>
      </c>
      <c r="G155">
        <v>2005</v>
      </c>
      <c r="H155" t="s">
        <v>21</v>
      </c>
      <c r="I155" t="s">
        <v>72</v>
      </c>
      <c r="J155" s="7"/>
      <c r="K155" t="s">
        <v>68</v>
      </c>
    </row>
    <row r="156" spans="1:11">
      <c r="A156">
        <v>3155</v>
      </c>
      <c r="B156" t="s">
        <v>119</v>
      </c>
      <c r="C156" t="s">
        <v>141</v>
      </c>
      <c r="D156" s="7">
        <v>27534</v>
      </c>
      <c r="E156" s="7">
        <v>45226</v>
      </c>
      <c r="F156">
        <v>1003</v>
      </c>
      <c r="G156">
        <v>2007</v>
      </c>
      <c r="H156" t="s">
        <v>21</v>
      </c>
      <c r="I156" t="s">
        <v>67</v>
      </c>
      <c r="J156" s="7"/>
      <c r="K156" t="s">
        <v>68</v>
      </c>
    </row>
    <row r="157" spans="1:11">
      <c r="A157">
        <v>3156</v>
      </c>
      <c r="B157" t="s">
        <v>113</v>
      </c>
      <c r="C157" t="s">
        <v>66</v>
      </c>
      <c r="D157" s="7">
        <v>30702</v>
      </c>
      <c r="E157" s="7">
        <v>46170</v>
      </c>
      <c r="F157">
        <v>1004</v>
      </c>
      <c r="G157">
        <v>2011</v>
      </c>
      <c r="H157" t="s">
        <v>86</v>
      </c>
      <c r="I157" t="s">
        <v>72</v>
      </c>
      <c r="J157" s="7"/>
      <c r="K157" t="s">
        <v>68</v>
      </c>
    </row>
    <row r="158" spans="1:11">
      <c r="A158">
        <v>3157</v>
      </c>
      <c r="B158" t="s">
        <v>146</v>
      </c>
      <c r="C158" t="s">
        <v>189</v>
      </c>
      <c r="D158" s="7">
        <v>35925</v>
      </c>
      <c r="E158" s="7">
        <v>45736</v>
      </c>
      <c r="F158">
        <v>1004</v>
      </c>
      <c r="G158">
        <v>2011</v>
      </c>
      <c r="H158" t="s">
        <v>106</v>
      </c>
      <c r="I158" t="s">
        <v>67</v>
      </c>
      <c r="J158" s="7">
        <v>45977</v>
      </c>
      <c r="K158" t="s">
        <v>112</v>
      </c>
    </row>
    <row r="159" spans="1:11">
      <c r="A159">
        <v>3158</v>
      </c>
      <c r="B159" t="s">
        <v>185</v>
      </c>
      <c r="C159" t="s">
        <v>190</v>
      </c>
      <c r="D159" s="7">
        <v>33373</v>
      </c>
      <c r="E159" s="7">
        <v>45269</v>
      </c>
      <c r="F159">
        <v>1004</v>
      </c>
      <c r="G159">
        <v>2012</v>
      </c>
      <c r="H159" t="s">
        <v>21</v>
      </c>
      <c r="I159" t="s">
        <v>67</v>
      </c>
      <c r="J159" s="7"/>
      <c r="K159" t="s">
        <v>68</v>
      </c>
    </row>
    <row r="160" spans="1:11">
      <c r="A160">
        <v>3159</v>
      </c>
      <c r="B160" t="s">
        <v>157</v>
      </c>
      <c r="C160" t="s">
        <v>173</v>
      </c>
      <c r="D160" s="7">
        <v>39296</v>
      </c>
      <c r="E160" s="7">
        <v>45784</v>
      </c>
      <c r="F160">
        <v>1003</v>
      </c>
      <c r="G160">
        <v>2009</v>
      </c>
      <c r="H160" t="s">
        <v>21</v>
      </c>
      <c r="I160" t="s">
        <v>67</v>
      </c>
      <c r="J160" s="7"/>
      <c r="K160" t="s">
        <v>68</v>
      </c>
    </row>
    <row r="161" spans="1:11">
      <c r="A161">
        <v>3160</v>
      </c>
      <c r="B161" t="s">
        <v>183</v>
      </c>
      <c r="C161" t="s">
        <v>100</v>
      </c>
      <c r="D161" s="7">
        <v>22088</v>
      </c>
      <c r="E161" s="7">
        <v>45353</v>
      </c>
      <c r="F161">
        <v>1005</v>
      </c>
      <c r="G161">
        <v>2014</v>
      </c>
      <c r="H161" t="s">
        <v>21</v>
      </c>
      <c r="I161" t="s">
        <v>72</v>
      </c>
      <c r="J161" s="7"/>
      <c r="K161" t="s">
        <v>68</v>
      </c>
    </row>
    <row r="162" spans="1:11">
      <c r="A162">
        <v>3161</v>
      </c>
      <c r="B162" t="s">
        <v>187</v>
      </c>
      <c r="C162" t="s">
        <v>162</v>
      </c>
      <c r="D162" s="7">
        <v>32398</v>
      </c>
      <c r="E162" s="7">
        <v>45813</v>
      </c>
      <c r="F162">
        <v>1006</v>
      </c>
      <c r="G162">
        <v>2017</v>
      </c>
      <c r="H162" t="s">
        <v>21</v>
      </c>
      <c r="I162" t="s">
        <v>81</v>
      </c>
      <c r="J162" s="7"/>
      <c r="K162" t="s">
        <v>68</v>
      </c>
    </row>
    <row r="163" spans="1:11">
      <c r="A163">
        <v>3162</v>
      </c>
      <c r="B163" t="s">
        <v>94</v>
      </c>
      <c r="C163" t="s">
        <v>181</v>
      </c>
      <c r="D163" s="7">
        <v>29079</v>
      </c>
      <c r="E163" s="7">
        <v>45641</v>
      </c>
      <c r="F163">
        <v>1004</v>
      </c>
      <c r="G163">
        <v>2012</v>
      </c>
      <c r="H163" t="s">
        <v>86</v>
      </c>
      <c r="I163" t="s">
        <v>67</v>
      </c>
      <c r="J163" s="7"/>
      <c r="K163" t="s">
        <v>68</v>
      </c>
    </row>
    <row r="164" spans="1:11">
      <c r="A164">
        <v>3163</v>
      </c>
      <c r="B164" t="s">
        <v>116</v>
      </c>
      <c r="C164" t="s">
        <v>141</v>
      </c>
      <c r="D164" s="7">
        <v>21893</v>
      </c>
      <c r="E164" s="7">
        <v>46003</v>
      </c>
      <c r="F164">
        <v>1006</v>
      </c>
      <c r="G164">
        <v>2018</v>
      </c>
      <c r="H164" t="s">
        <v>21</v>
      </c>
      <c r="I164" t="s">
        <v>81</v>
      </c>
      <c r="J164" s="7"/>
      <c r="K164" t="s">
        <v>68</v>
      </c>
    </row>
    <row r="165" spans="1:11">
      <c r="A165">
        <v>3164</v>
      </c>
      <c r="B165" t="s">
        <v>177</v>
      </c>
      <c r="C165" t="s">
        <v>134</v>
      </c>
      <c r="D165" s="7">
        <v>38056</v>
      </c>
      <c r="E165" s="7">
        <v>45794</v>
      </c>
      <c r="F165">
        <v>1006</v>
      </c>
      <c r="G165">
        <v>2018</v>
      </c>
      <c r="H165" t="s">
        <v>75</v>
      </c>
      <c r="I165" t="s">
        <v>72</v>
      </c>
      <c r="J165" s="7">
        <v>46144</v>
      </c>
      <c r="K165" t="s">
        <v>142</v>
      </c>
    </row>
    <row r="166" spans="1:11">
      <c r="A166">
        <v>3165</v>
      </c>
      <c r="B166" t="s">
        <v>184</v>
      </c>
      <c r="C166" t="s">
        <v>70</v>
      </c>
      <c r="D166" s="7">
        <v>28264</v>
      </c>
      <c r="E166" s="7">
        <v>45758</v>
      </c>
      <c r="F166">
        <v>1006</v>
      </c>
      <c r="G166">
        <v>2018</v>
      </c>
      <c r="H166" t="s">
        <v>75</v>
      </c>
      <c r="I166" t="s">
        <v>72</v>
      </c>
      <c r="J166" s="7">
        <v>45945</v>
      </c>
      <c r="K166" t="s">
        <v>142</v>
      </c>
    </row>
    <row r="167" spans="1:11">
      <c r="A167">
        <v>3166</v>
      </c>
      <c r="B167" t="s">
        <v>183</v>
      </c>
      <c r="C167" t="s">
        <v>114</v>
      </c>
      <c r="D167" s="7">
        <v>22385</v>
      </c>
      <c r="E167" s="7">
        <v>45836</v>
      </c>
      <c r="F167">
        <v>1002</v>
      </c>
      <c r="G167">
        <v>2005</v>
      </c>
      <c r="H167" t="s">
        <v>21</v>
      </c>
      <c r="I167" t="s">
        <v>67</v>
      </c>
      <c r="J167" s="7"/>
      <c r="K167" t="s">
        <v>68</v>
      </c>
    </row>
    <row r="168" spans="1:11">
      <c r="A168">
        <v>3167</v>
      </c>
      <c r="B168" t="s">
        <v>147</v>
      </c>
      <c r="C168" t="s">
        <v>178</v>
      </c>
      <c r="D168" s="7">
        <v>32900</v>
      </c>
      <c r="E168" s="7">
        <v>45172</v>
      </c>
      <c r="F168">
        <v>1003</v>
      </c>
      <c r="G168">
        <v>2007</v>
      </c>
      <c r="H168" t="s">
        <v>86</v>
      </c>
      <c r="I168" t="s">
        <v>72</v>
      </c>
      <c r="J168" s="7"/>
      <c r="K168" t="s">
        <v>68</v>
      </c>
    </row>
    <row r="169" spans="1:11">
      <c r="A169">
        <v>3168</v>
      </c>
      <c r="B169" t="s">
        <v>83</v>
      </c>
      <c r="C169" t="s">
        <v>160</v>
      </c>
      <c r="D169" s="7">
        <v>28963</v>
      </c>
      <c r="E169" s="7">
        <v>45814</v>
      </c>
      <c r="F169">
        <v>1006</v>
      </c>
      <c r="G169">
        <v>2018</v>
      </c>
      <c r="H169" t="s">
        <v>21</v>
      </c>
      <c r="I169" t="s">
        <v>67</v>
      </c>
      <c r="J169" s="7"/>
      <c r="K169" t="s">
        <v>68</v>
      </c>
    </row>
    <row r="170" spans="1:11">
      <c r="A170">
        <v>3169</v>
      </c>
      <c r="B170" t="s">
        <v>191</v>
      </c>
      <c r="C170" t="s">
        <v>141</v>
      </c>
      <c r="D170" s="7">
        <v>23487</v>
      </c>
      <c r="E170" s="7">
        <v>45181</v>
      </c>
      <c r="F170">
        <v>1002</v>
      </c>
      <c r="G170">
        <v>2005</v>
      </c>
      <c r="H170" t="s">
        <v>21</v>
      </c>
      <c r="I170" t="s">
        <v>67</v>
      </c>
      <c r="J170" s="7"/>
      <c r="K170" t="s">
        <v>68</v>
      </c>
    </row>
    <row r="171" spans="1:11">
      <c r="A171">
        <v>3170</v>
      </c>
      <c r="B171" t="s">
        <v>143</v>
      </c>
      <c r="C171" t="s">
        <v>85</v>
      </c>
      <c r="D171" s="7">
        <v>23996</v>
      </c>
      <c r="E171" s="7">
        <v>45876</v>
      </c>
      <c r="F171">
        <v>1005</v>
      </c>
      <c r="G171">
        <v>2013</v>
      </c>
      <c r="H171" t="s">
        <v>21</v>
      </c>
      <c r="I171" t="s">
        <v>72</v>
      </c>
      <c r="J171" s="7"/>
      <c r="K171" t="s">
        <v>68</v>
      </c>
    </row>
    <row r="172" spans="1:11">
      <c r="A172">
        <v>3171</v>
      </c>
      <c r="B172" t="s">
        <v>103</v>
      </c>
      <c r="C172" t="s">
        <v>133</v>
      </c>
      <c r="D172" s="7">
        <v>23937</v>
      </c>
      <c r="E172" s="7">
        <v>45441</v>
      </c>
      <c r="F172">
        <v>1003</v>
      </c>
      <c r="G172">
        <v>2009</v>
      </c>
      <c r="H172" t="s">
        <v>21</v>
      </c>
      <c r="I172" t="s">
        <v>81</v>
      </c>
      <c r="J172" s="7"/>
      <c r="K172" t="s">
        <v>68</v>
      </c>
    </row>
    <row r="173" spans="1:11">
      <c r="A173">
        <v>3172</v>
      </c>
      <c r="B173" t="s">
        <v>177</v>
      </c>
      <c r="C173" t="s">
        <v>180</v>
      </c>
      <c r="D173" s="7">
        <v>34753</v>
      </c>
      <c r="E173" s="7">
        <v>46024</v>
      </c>
      <c r="F173">
        <v>1001</v>
      </c>
      <c r="G173">
        <v>2002</v>
      </c>
      <c r="H173" t="s">
        <v>21</v>
      </c>
      <c r="I173" t="s">
        <v>72</v>
      </c>
      <c r="J173" s="7"/>
      <c r="K173" t="s">
        <v>68</v>
      </c>
    </row>
    <row r="174" spans="1:11">
      <c r="A174">
        <v>3173</v>
      </c>
      <c r="B174" t="s">
        <v>98</v>
      </c>
      <c r="C174" t="s">
        <v>178</v>
      </c>
      <c r="D174" s="7">
        <v>38274</v>
      </c>
      <c r="E174" s="7">
        <v>46115</v>
      </c>
      <c r="F174">
        <v>1002</v>
      </c>
      <c r="G174">
        <v>2005</v>
      </c>
      <c r="H174" t="s">
        <v>21</v>
      </c>
      <c r="I174" t="s">
        <v>67</v>
      </c>
      <c r="J174" s="7"/>
      <c r="K174" t="s">
        <v>68</v>
      </c>
    </row>
    <row r="175" spans="1:11">
      <c r="A175">
        <v>3174</v>
      </c>
      <c r="B175" t="s">
        <v>188</v>
      </c>
      <c r="C175" t="s">
        <v>150</v>
      </c>
      <c r="D175" s="7">
        <v>20634</v>
      </c>
      <c r="E175" s="7">
        <v>45134</v>
      </c>
      <c r="F175">
        <v>1003</v>
      </c>
      <c r="G175">
        <v>2007</v>
      </c>
      <c r="H175" t="s">
        <v>21</v>
      </c>
      <c r="I175" t="s">
        <v>81</v>
      </c>
      <c r="J175" s="7"/>
      <c r="K175" t="s">
        <v>68</v>
      </c>
    </row>
    <row r="176" spans="1:11">
      <c r="A176">
        <v>3175</v>
      </c>
      <c r="B176" t="s">
        <v>155</v>
      </c>
      <c r="C176" t="s">
        <v>141</v>
      </c>
      <c r="D176" s="7">
        <v>22770</v>
      </c>
      <c r="E176" s="7">
        <v>45134</v>
      </c>
      <c r="F176">
        <v>1002</v>
      </c>
      <c r="G176">
        <v>2005</v>
      </c>
      <c r="H176" t="s">
        <v>86</v>
      </c>
      <c r="I176" t="s">
        <v>67</v>
      </c>
      <c r="J176" s="7"/>
      <c r="K176" t="s">
        <v>68</v>
      </c>
    </row>
    <row r="177" spans="1:11">
      <c r="A177">
        <v>3176</v>
      </c>
      <c r="B177" t="s">
        <v>79</v>
      </c>
      <c r="C177" t="s">
        <v>105</v>
      </c>
      <c r="D177" s="7">
        <v>26379</v>
      </c>
      <c r="E177" s="7">
        <v>46143</v>
      </c>
      <c r="F177">
        <v>1004</v>
      </c>
      <c r="G177">
        <v>2011</v>
      </c>
      <c r="H177" t="s">
        <v>21</v>
      </c>
      <c r="I177" t="s">
        <v>72</v>
      </c>
      <c r="J177" s="7"/>
      <c r="K177" t="s">
        <v>68</v>
      </c>
    </row>
    <row r="178" spans="1:11">
      <c r="A178">
        <v>3177</v>
      </c>
      <c r="B178" t="s">
        <v>146</v>
      </c>
      <c r="C178" t="s">
        <v>162</v>
      </c>
      <c r="D178" s="7">
        <v>20225</v>
      </c>
      <c r="E178" s="7">
        <v>46012</v>
      </c>
      <c r="F178">
        <v>1006</v>
      </c>
      <c r="G178">
        <v>2018</v>
      </c>
      <c r="H178" t="s">
        <v>21</v>
      </c>
      <c r="I178" t="s">
        <v>81</v>
      </c>
      <c r="J178" s="7"/>
      <c r="K178" t="s">
        <v>68</v>
      </c>
    </row>
    <row r="179" spans="1:11">
      <c r="A179">
        <v>3178</v>
      </c>
      <c r="B179" t="s">
        <v>128</v>
      </c>
      <c r="C179" t="s">
        <v>118</v>
      </c>
      <c r="D179" s="7">
        <v>32525</v>
      </c>
      <c r="E179" s="7">
        <v>45711</v>
      </c>
      <c r="F179">
        <v>1001</v>
      </c>
      <c r="G179">
        <v>2003</v>
      </c>
      <c r="H179" t="s">
        <v>21</v>
      </c>
      <c r="I179" t="s">
        <v>72</v>
      </c>
      <c r="J179" s="7"/>
      <c r="K179" t="s">
        <v>68</v>
      </c>
    </row>
    <row r="180" spans="1:11">
      <c r="A180">
        <v>3179</v>
      </c>
      <c r="B180" t="s">
        <v>191</v>
      </c>
      <c r="C180" t="s">
        <v>120</v>
      </c>
      <c r="D180" s="7">
        <v>33915</v>
      </c>
      <c r="E180" s="7">
        <v>45860</v>
      </c>
      <c r="F180">
        <v>1001</v>
      </c>
      <c r="G180">
        <v>2003</v>
      </c>
      <c r="H180" t="s">
        <v>21</v>
      </c>
      <c r="I180" t="s">
        <v>81</v>
      </c>
      <c r="J180" s="7"/>
      <c r="K180" t="s">
        <v>68</v>
      </c>
    </row>
    <row r="181" spans="1:11">
      <c r="A181">
        <v>3180</v>
      </c>
      <c r="B181" t="s">
        <v>141</v>
      </c>
      <c r="C181" t="s">
        <v>150</v>
      </c>
      <c r="D181" s="7">
        <v>21416</v>
      </c>
      <c r="E181" s="7">
        <v>45929</v>
      </c>
      <c r="F181">
        <v>1001</v>
      </c>
      <c r="G181">
        <v>2002</v>
      </c>
      <c r="H181" t="s">
        <v>21</v>
      </c>
      <c r="I181" t="s">
        <v>67</v>
      </c>
      <c r="J181" s="7"/>
      <c r="K181" t="s">
        <v>68</v>
      </c>
    </row>
    <row r="182" spans="1:11">
      <c r="A182">
        <v>3181</v>
      </c>
      <c r="B182" t="s">
        <v>96</v>
      </c>
      <c r="C182" t="s">
        <v>137</v>
      </c>
      <c r="D182" s="7">
        <v>21341</v>
      </c>
      <c r="E182" s="7">
        <v>46164</v>
      </c>
      <c r="F182">
        <v>1006</v>
      </c>
      <c r="G182">
        <v>2018</v>
      </c>
      <c r="H182" t="s">
        <v>21</v>
      </c>
      <c r="I182" t="s">
        <v>72</v>
      </c>
      <c r="J182" s="7"/>
      <c r="K182" t="s">
        <v>68</v>
      </c>
    </row>
    <row r="183" spans="1:11">
      <c r="A183">
        <v>3182</v>
      </c>
      <c r="B183" t="s">
        <v>166</v>
      </c>
      <c r="C183" t="s">
        <v>66</v>
      </c>
      <c r="D183" s="7">
        <v>30343</v>
      </c>
      <c r="E183" s="7">
        <v>45421</v>
      </c>
      <c r="F183">
        <v>1005</v>
      </c>
      <c r="G183">
        <v>2015</v>
      </c>
      <c r="H183" t="s">
        <v>21</v>
      </c>
      <c r="I183" t="s">
        <v>72</v>
      </c>
      <c r="J183" s="7"/>
      <c r="K183" t="s">
        <v>68</v>
      </c>
    </row>
    <row r="184" spans="1:11">
      <c r="A184">
        <v>3183</v>
      </c>
      <c r="B184" t="s">
        <v>82</v>
      </c>
      <c r="C184" t="s">
        <v>138</v>
      </c>
      <c r="D184" s="7">
        <v>21308</v>
      </c>
      <c r="E184" s="7">
        <v>45481</v>
      </c>
      <c r="F184">
        <v>1002</v>
      </c>
      <c r="G184">
        <v>2006</v>
      </c>
      <c r="H184" t="s">
        <v>21</v>
      </c>
      <c r="I184" t="s">
        <v>72</v>
      </c>
      <c r="J184" s="7"/>
      <c r="K184" t="s">
        <v>68</v>
      </c>
    </row>
    <row r="185" spans="1:11">
      <c r="A185">
        <v>3184</v>
      </c>
      <c r="B185" t="s">
        <v>141</v>
      </c>
      <c r="C185" t="s">
        <v>138</v>
      </c>
      <c r="D185" s="7">
        <v>33548</v>
      </c>
      <c r="E185" s="7">
        <v>45780</v>
      </c>
      <c r="F185">
        <v>1004</v>
      </c>
      <c r="G185">
        <v>2012</v>
      </c>
      <c r="H185" t="s">
        <v>86</v>
      </c>
      <c r="I185" t="s">
        <v>72</v>
      </c>
      <c r="J185" s="7"/>
      <c r="K185" t="s">
        <v>68</v>
      </c>
    </row>
    <row r="186" spans="1:11">
      <c r="A186">
        <v>3185</v>
      </c>
      <c r="B186" t="s">
        <v>168</v>
      </c>
      <c r="C186" t="s">
        <v>180</v>
      </c>
      <c r="D186" s="7">
        <v>39528</v>
      </c>
      <c r="E186" s="7">
        <v>45739</v>
      </c>
      <c r="F186">
        <v>1003</v>
      </c>
      <c r="G186">
        <v>2007</v>
      </c>
      <c r="H186" t="s">
        <v>21</v>
      </c>
      <c r="I186" t="s">
        <v>72</v>
      </c>
      <c r="J186" s="7"/>
      <c r="K186" t="s">
        <v>68</v>
      </c>
    </row>
    <row r="187" spans="1:11">
      <c r="A187">
        <v>3186</v>
      </c>
      <c r="B187" t="s">
        <v>182</v>
      </c>
      <c r="C187" t="s">
        <v>189</v>
      </c>
      <c r="D187" s="7">
        <v>33969</v>
      </c>
      <c r="E187" s="7">
        <v>46044</v>
      </c>
      <c r="F187">
        <v>1005</v>
      </c>
      <c r="G187">
        <v>2013</v>
      </c>
      <c r="H187" t="s">
        <v>21</v>
      </c>
      <c r="I187" t="s">
        <v>67</v>
      </c>
      <c r="J187" s="7"/>
      <c r="K187" t="s">
        <v>68</v>
      </c>
    </row>
    <row r="188" spans="1:11">
      <c r="A188">
        <v>3187</v>
      </c>
      <c r="B188" t="s">
        <v>157</v>
      </c>
      <c r="C188" t="s">
        <v>162</v>
      </c>
      <c r="D188" s="7">
        <v>21797</v>
      </c>
      <c r="E188" s="7">
        <v>46157</v>
      </c>
      <c r="F188">
        <v>1003</v>
      </c>
      <c r="G188">
        <v>2008</v>
      </c>
      <c r="H188" t="s">
        <v>21</v>
      </c>
      <c r="I188" t="s">
        <v>81</v>
      </c>
      <c r="J188" s="7"/>
      <c r="K188" t="s">
        <v>68</v>
      </c>
    </row>
    <row r="189" spans="1:11">
      <c r="A189">
        <v>3188</v>
      </c>
      <c r="B189" t="s">
        <v>148</v>
      </c>
      <c r="C189" t="s">
        <v>88</v>
      </c>
      <c r="D189" s="7">
        <v>20183</v>
      </c>
      <c r="E189" s="7">
        <v>46040</v>
      </c>
      <c r="F189">
        <v>1005</v>
      </c>
      <c r="G189">
        <v>2015</v>
      </c>
      <c r="H189" t="s">
        <v>106</v>
      </c>
      <c r="I189" t="s">
        <v>72</v>
      </c>
      <c r="J189" s="7">
        <v>46193</v>
      </c>
      <c r="K189" t="s">
        <v>112</v>
      </c>
    </row>
    <row r="190" spans="1:11">
      <c r="A190">
        <v>3189</v>
      </c>
      <c r="B190" t="s">
        <v>77</v>
      </c>
      <c r="C190" t="s">
        <v>105</v>
      </c>
      <c r="D190" s="7">
        <v>33601</v>
      </c>
      <c r="E190" s="7">
        <v>45330</v>
      </c>
      <c r="F190">
        <v>1005</v>
      </c>
      <c r="G190">
        <v>2014</v>
      </c>
      <c r="H190" t="s">
        <v>21</v>
      </c>
      <c r="I190" t="s">
        <v>81</v>
      </c>
      <c r="J190" s="7"/>
      <c r="K190" t="s">
        <v>68</v>
      </c>
    </row>
    <row r="191" spans="1:11">
      <c r="A191">
        <v>3190</v>
      </c>
      <c r="B191" t="s">
        <v>179</v>
      </c>
      <c r="C191" t="s">
        <v>71</v>
      </c>
      <c r="D191" s="7">
        <v>20121</v>
      </c>
      <c r="E191" s="7">
        <v>45626</v>
      </c>
      <c r="F191">
        <v>1003</v>
      </c>
      <c r="G191">
        <v>2009</v>
      </c>
      <c r="H191" t="s">
        <v>21</v>
      </c>
      <c r="I191" t="s">
        <v>72</v>
      </c>
      <c r="J191" s="7"/>
      <c r="K191" t="s">
        <v>68</v>
      </c>
    </row>
    <row r="192" spans="1:11">
      <c r="A192">
        <v>3191</v>
      </c>
      <c r="B192" t="s">
        <v>82</v>
      </c>
      <c r="C192" t="s">
        <v>164</v>
      </c>
      <c r="D192" s="7">
        <v>31533</v>
      </c>
      <c r="E192" s="7">
        <v>45956</v>
      </c>
      <c r="F192">
        <v>1004</v>
      </c>
      <c r="G192">
        <v>2011</v>
      </c>
      <c r="H192" t="s">
        <v>21</v>
      </c>
      <c r="I192" t="s">
        <v>81</v>
      </c>
      <c r="J192" s="7"/>
      <c r="K192" t="s">
        <v>68</v>
      </c>
    </row>
    <row r="193" spans="1:11">
      <c r="A193">
        <v>3192</v>
      </c>
      <c r="B193" t="s">
        <v>87</v>
      </c>
      <c r="C193" t="s">
        <v>125</v>
      </c>
      <c r="D193" s="7">
        <v>20998</v>
      </c>
      <c r="E193" s="7">
        <v>45794</v>
      </c>
      <c r="F193">
        <v>1006</v>
      </c>
      <c r="G193">
        <v>2017</v>
      </c>
      <c r="H193" t="s">
        <v>75</v>
      </c>
      <c r="I193" t="s">
        <v>72</v>
      </c>
      <c r="J193" s="7">
        <v>45849</v>
      </c>
      <c r="K193" t="s">
        <v>149</v>
      </c>
    </row>
    <row r="194" spans="1:11">
      <c r="A194">
        <v>3193</v>
      </c>
      <c r="B194" t="s">
        <v>156</v>
      </c>
      <c r="C194" t="s">
        <v>190</v>
      </c>
      <c r="D194" s="7">
        <v>38588</v>
      </c>
      <c r="E194" s="7">
        <v>45426</v>
      </c>
      <c r="F194">
        <v>1003</v>
      </c>
      <c r="G194">
        <v>2008</v>
      </c>
      <c r="H194" t="s">
        <v>86</v>
      </c>
      <c r="I194" t="s">
        <v>72</v>
      </c>
      <c r="J194" s="7"/>
      <c r="K194" t="s">
        <v>68</v>
      </c>
    </row>
    <row r="195" spans="1:11">
      <c r="A195">
        <v>3194</v>
      </c>
      <c r="B195" t="s">
        <v>147</v>
      </c>
      <c r="C195" t="s">
        <v>174</v>
      </c>
      <c r="D195" s="7">
        <v>31682</v>
      </c>
      <c r="E195" s="7">
        <v>45383</v>
      </c>
      <c r="F195">
        <v>1005</v>
      </c>
      <c r="G195">
        <v>2015</v>
      </c>
      <c r="H195" t="s">
        <v>21</v>
      </c>
      <c r="I195" t="s">
        <v>67</v>
      </c>
      <c r="J195" s="7"/>
      <c r="K195" t="s">
        <v>68</v>
      </c>
    </row>
    <row r="196" spans="1:11">
      <c r="A196">
        <v>3195</v>
      </c>
      <c r="B196" t="s">
        <v>130</v>
      </c>
      <c r="C196" t="s">
        <v>127</v>
      </c>
      <c r="D196" s="7">
        <v>29602</v>
      </c>
      <c r="E196" s="7">
        <v>45380</v>
      </c>
      <c r="F196">
        <v>1001</v>
      </c>
      <c r="G196">
        <v>2003</v>
      </c>
      <c r="H196" t="s">
        <v>21</v>
      </c>
      <c r="I196" t="s">
        <v>72</v>
      </c>
      <c r="J196" s="7"/>
      <c r="K196" t="s">
        <v>68</v>
      </c>
    </row>
    <row r="197" spans="1:11">
      <c r="A197">
        <v>3196</v>
      </c>
      <c r="B197" t="s">
        <v>94</v>
      </c>
      <c r="C197" t="s">
        <v>150</v>
      </c>
      <c r="D197" s="7">
        <v>30695</v>
      </c>
      <c r="E197" s="7">
        <v>45156</v>
      </c>
      <c r="F197">
        <v>1006</v>
      </c>
      <c r="G197">
        <v>2017</v>
      </c>
      <c r="H197" t="s">
        <v>21</v>
      </c>
      <c r="I197" t="s">
        <v>67</v>
      </c>
      <c r="J197" s="7"/>
      <c r="K197" t="s">
        <v>68</v>
      </c>
    </row>
    <row r="198" spans="1:11">
      <c r="A198">
        <v>3197</v>
      </c>
      <c r="B198" t="s">
        <v>119</v>
      </c>
      <c r="C198" t="s">
        <v>181</v>
      </c>
      <c r="D198" s="7">
        <v>25130</v>
      </c>
      <c r="E198" s="7">
        <v>45582</v>
      </c>
      <c r="F198">
        <v>1002</v>
      </c>
      <c r="G198">
        <v>2005</v>
      </c>
      <c r="H198" t="s">
        <v>21</v>
      </c>
      <c r="I198" t="s">
        <v>72</v>
      </c>
      <c r="J198" s="7"/>
      <c r="K198" t="s">
        <v>68</v>
      </c>
    </row>
    <row r="199" spans="1:11">
      <c r="A199">
        <v>3198</v>
      </c>
      <c r="B199" t="s">
        <v>156</v>
      </c>
      <c r="C199" t="s">
        <v>129</v>
      </c>
      <c r="D199" s="7">
        <v>36526</v>
      </c>
      <c r="E199" s="7">
        <v>46197</v>
      </c>
      <c r="F199">
        <v>1001</v>
      </c>
      <c r="G199">
        <v>2003</v>
      </c>
      <c r="H199" t="s">
        <v>75</v>
      </c>
      <c r="I199" t="s">
        <v>67</v>
      </c>
      <c r="J199" s="7">
        <v>46204</v>
      </c>
      <c r="K199" t="s">
        <v>112</v>
      </c>
    </row>
    <row r="200" spans="1:11">
      <c r="A200">
        <v>3199</v>
      </c>
      <c r="B200" t="s">
        <v>107</v>
      </c>
      <c r="C200" t="s">
        <v>71</v>
      </c>
      <c r="D200" s="7">
        <v>24764</v>
      </c>
      <c r="E200" s="7">
        <v>45458</v>
      </c>
      <c r="F200">
        <v>1005</v>
      </c>
      <c r="G200">
        <v>2013</v>
      </c>
      <c r="H200" t="s">
        <v>21</v>
      </c>
      <c r="I200" t="s">
        <v>67</v>
      </c>
      <c r="J200" s="7"/>
      <c r="K200" t="s">
        <v>68</v>
      </c>
    </row>
    <row r="201" spans="1:11">
      <c r="A201">
        <v>3200</v>
      </c>
      <c r="B201" t="s">
        <v>103</v>
      </c>
      <c r="C201" t="s">
        <v>141</v>
      </c>
      <c r="D201" s="7">
        <v>33394</v>
      </c>
      <c r="E201" s="7">
        <v>45702</v>
      </c>
      <c r="F201">
        <v>1001</v>
      </c>
      <c r="G201">
        <v>2003</v>
      </c>
      <c r="H201" t="s">
        <v>21</v>
      </c>
      <c r="I201" t="s">
        <v>72</v>
      </c>
      <c r="J201" s="7"/>
      <c r="K201" t="s">
        <v>68</v>
      </c>
    </row>
    <row r="202" spans="1:11">
      <c r="A202">
        <v>3201</v>
      </c>
      <c r="B202" t="s">
        <v>94</v>
      </c>
      <c r="C202" t="s">
        <v>176</v>
      </c>
      <c r="D202" s="7">
        <v>34207</v>
      </c>
      <c r="E202" s="7">
        <v>45516</v>
      </c>
      <c r="F202">
        <v>1004</v>
      </c>
      <c r="G202">
        <v>2011</v>
      </c>
      <c r="H202" t="s">
        <v>21</v>
      </c>
      <c r="I202" t="s">
        <v>67</v>
      </c>
      <c r="J202" s="7"/>
      <c r="K202" t="s">
        <v>68</v>
      </c>
    </row>
    <row r="203" spans="1:11">
      <c r="A203">
        <v>3202</v>
      </c>
      <c r="B203" t="s">
        <v>98</v>
      </c>
      <c r="C203" t="s">
        <v>151</v>
      </c>
      <c r="D203" s="7">
        <v>31352</v>
      </c>
      <c r="E203" s="7">
        <v>46148</v>
      </c>
      <c r="F203">
        <v>1005</v>
      </c>
      <c r="G203">
        <v>2014</v>
      </c>
      <c r="H203" t="s">
        <v>21</v>
      </c>
      <c r="I203" t="s">
        <v>67</v>
      </c>
      <c r="J203" s="7"/>
      <c r="K203" t="s">
        <v>68</v>
      </c>
    </row>
    <row r="204" spans="1:11">
      <c r="A204">
        <v>3203</v>
      </c>
      <c r="B204" t="s">
        <v>141</v>
      </c>
      <c r="C204" t="s">
        <v>111</v>
      </c>
      <c r="D204" s="7">
        <v>27031</v>
      </c>
      <c r="E204" s="7">
        <v>45225</v>
      </c>
      <c r="F204">
        <v>1002</v>
      </c>
      <c r="G204">
        <v>2005</v>
      </c>
      <c r="H204" t="s">
        <v>75</v>
      </c>
      <c r="I204" t="s">
        <v>67</v>
      </c>
      <c r="J204" s="7">
        <v>45888</v>
      </c>
      <c r="K204" t="s">
        <v>121</v>
      </c>
    </row>
    <row r="205" spans="1:11">
      <c r="A205">
        <v>3204</v>
      </c>
      <c r="B205" t="s">
        <v>191</v>
      </c>
      <c r="C205" t="s">
        <v>102</v>
      </c>
      <c r="D205" s="7">
        <v>22924</v>
      </c>
      <c r="E205" s="7">
        <v>45702</v>
      </c>
      <c r="F205">
        <v>1005</v>
      </c>
      <c r="G205">
        <v>2013</v>
      </c>
      <c r="H205" t="s">
        <v>86</v>
      </c>
      <c r="I205" t="s">
        <v>72</v>
      </c>
      <c r="J205" s="7"/>
      <c r="K205" t="s">
        <v>68</v>
      </c>
    </row>
    <row r="206" spans="1:11">
      <c r="A206">
        <v>3205</v>
      </c>
      <c r="B206" t="s">
        <v>89</v>
      </c>
      <c r="C206" t="s">
        <v>95</v>
      </c>
      <c r="D206" s="7">
        <v>33174</v>
      </c>
      <c r="E206" s="7">
        <v>45306</v>
      </c>
      <c r="F206">
        <v>1002</v>
      </c>
      <c r="G206">
        <v>2006</v>
      </c>
      <c r="H206" t="s">
        <v>21</v>
      </c>
      <c r="I206" t="s">
        <v>72</v>
      </c>
      <c r="J206" s="7"/>
      <c r="K206" t="s">
        <v>68</v>
      </c>
    </row>
    <row r="207" spans="1:11">
      <c r="A207">
        <v>3206</v>
      </c>
      <c r="B207" t="s">
        <v>157</v>
      </c>
      <c r="C207" t="s">
        <v>190</v>
      </c>
      <c r="D207" s="7">
        <v>31830</v>
      </c>
      <c r="E207" s="7">
        <v>46147</v>
      </c>
      <c r="F207">
        <v>1004</v>
      </c>
      <c r="G207">
        <v>2012</v>
      </c>
      <c r="H207" t="s">
        <v>106</v>
      </c>
      <c r="I207" t="s">
        <v>67</v>
      </c>
      <c r="J207" s="7">
        <v>46177</v>
      </c>
      <c r="K207" t="s">
        <v>91</v>
      </c>
    </row>
    <row r="208" spans="1:11">
      <c r="A208">
        <v>3207</v>
      </c>
      <c r="B208" t="s">
        <v>119</v>
      </c>
      <c r="C208" t="s">
        <v>78</v>
      </c>
      <c r="D208" s="7">
        <v>29825</v>
      </c>
      <c r="E208" s="7">
        <v>45418</v>
      </c>
      <c r="F208">
        <v>1003</v>
      </c>
      <c r="G208">
        <v>2007</v>
      </c>
      <c r="H208" t="s">
        <v>21</v>
      </c>
      <c r="I208" t="s">
        <v>81</v>
      </c>
      <c r="J208" s="7"/>
      <c r="K208" t="s">
        <v>68</v>
      </c>
    </row>
    <row r="209" spans="1:11">
      <c r="A209">
        <v>3208</v>
      </c>
      <c r="B209" t="s">
        <v>135</v>
      </c>
      <c r="C209" t="s">
        <v>160</v>
      </c>
      <c r="D209" s="7">
        <v>34210</v>
      </c>
      <c r="E209" s="7">
        <v>46037</v>
      </c>
      <c r="F209">
        <v>1003</v>
      </c>
      <c r="G209">
        <v>2008</v>
      </c>
      <c r="H209" t="s">
        <v>86</v>
      </c>
      <c r="I209" t="s">
        <v>67</v>
      </c>
      <c r="J209" s="7"/>
      <c r="K209" t="s">
        <v>68</v>
      </c>
    </row>
    <row r="210" spans="1:11">
      <c r="A210">
        <v>3209</v>
      </c>
      <c r="B210" t="s">
        <v>126</v>
      </c>
      <c r="C210" t="s">
        <v>137</v>
      </c>
      <c r="D210" s="7">
        <v>36822</v>
      </c>
      <c r="E210" s="7">
        <v>46199</v>
      </c>
      <c r="F210">
        <v>1001</v>
      </c>
      <c r="G210">
        <v>2002</v>
      </c>
      <c r="H210" t="s">
        <v>21</v>
      </c>
      <c r="I210" t="s">
        <v>81</v>
      </c>
      <c r="J210" s="7"/>
      <c r="K210" t="s">
        <v>68</v>
      </c>
    </row>
    <row r="211" spans="1:11">
      <c r="A211">
        <v>3210</v>
      </c>
      <c r="B211" t="s">
        <v>115</v>
      </c>
      <c r="C211" t="s">
        <v>137</v>
      </c>
      <c r="D211" s="7">
        <v>32595</v>
      </c>
      <c r="E211" s="7">
        <v>46055</v>
      </c>
      <c r="F211">
        <v>1003</v>
      </c>
      <c r="G211">
        <v>2007</v>
      </c>
      <c r="H211" t="s">
        <v>21</v>
      </c>
      <c r="I211" t="s">
        <v>67</v>
      </c>
      <c r="J211" s="7"/>
      <c r="K211" t="s">
        <v>68</v>
      </c>
    </row>
    <row r="212" spans="1:11">
      <c r="A212">
        <v>3211</v>
      </c>
      <c r="B212" t="s">
        <v>126</v>
      </c>
      <c r="C212" t="s">
        <v>160</v>
      </c>
      <c r="D212" s="7">
        <v>23543</v>
      </c>
      <c r="E212" s="7">
        <v>45715</v>
      </c>
      <c r="F212">
        <v>1004</v>
      </c>
      <c r="G212">
        <v>2011</v>
      </c>
      <c r="H212" t="s">
        <v>21</v>
      </c>
      <c r="I212" t="s">
        <v>72</v>
      </c>
      <c r="J212" s="7"/>
      <c r="K212" t="s">
        <v>68</v>
      </c>
    </row>
    <row r="213" spans="1:11">
      <c r="A213">
        <v>3212</v>
      </c>
      <c r="B213" t="s">
        <v>94</v>
      </c>
      <c r="C213" t="s">
        <v>145</v>
      </c>
      <c r="D213" s="7">
        <v>21644</v>
      </c>
      <c r="E213" s="7">
        <v>46191</v>
      </c>
      <c r="F213">
        <v>1005</v>
      </c>
      <c r="G213">
        <v>2014</v>
      </c>
      <c r="H213" t="s">
        <v>21</v>
      </c>
      <c r="I213" t="s">
        <v>67</v>
      </c>
      <c r="J213" s="7"/>
      <c r="K213" t="s">
        <v>68</v>
      </c>
    </row>
    <row r="214" spans="1:11">
      <c r="A214">
        <v>3213</v>
      </c>
      <c r="B214" t="s">
        <v>157</v>
      </c>
      <c r="C214" t="s">
        <v>122</v>
      </c>
      <c r="D214" s="7">
        <v>36997</v>
      </c>
      <c r="E214" s="7">
        <v>45160</v>
      </c>
      <c r="F214">
        <v>1005</v>
      </c>
      <c r="G214">
        <v>2015</v>
      </c>
      <c r="H214" t="s">
        <v>21</v>
      </c>
      <c r="I214" t="s">
        <v>81</v>
      </c>
      <c r="J214" s="7"/>
      <c r="K214" t="s">
        <v>68</v>
      </c>
    </row>
    <row r="215" spans="1:11">
      <c r="A215">
        <v>3214</v>
      </c>
      <c r="B215" t="s">
        <v>83</v>
      </c>
      <c r="C215" t="s">
        <v>139</v>
      </c>
      <c r="D215" s="7">
        <v>27150</v>
      </c>
      <c r="E215" s="7">
        <v>45152</v>
      </c>
      <c r="F215">
        <v>1004</v>
      </c>
      <c r="G215">
        <v>2011</v>
      </c>
      <c r="H215" t="s">
        <v>21</v>
      </c>
      <c r="I215" t="s">
        <v>81</v>
      </c>
      <c r="J215" s="7"/>
      <c r="K215" t="s">
        <v>68</v>
      </c>
    </row>
    <row r="216" spans="1:11">
      <c r="A216">
        <v>3215</v>
      </c>
      <c r="B216" t="s">
        <v>119</v>
      </c>
      <c r="C216" t="s">
        <v>78</v>
      </c>
      <c r="D216" s="7">
        <v>22235</v>
      </c>
      <c r="E216" s="7">
        <v>45799</v>
      </c>
      <c r="F216">
        <v>1001</v>
      </c>
      <c r="G216">
        <v>2003</v>
      </c>
      <c r="H216" t="s">
        <v>21</v>
      </c>
      <c r="I216" t="s">
        <v>72</v>
      </c>
      <c r="J216" s="7"/>
      <c r="K216" t="s">
        <v>68</v>
      </c>
    </row>
    <row r="217" spans="1:11">
      <c r="A217">
        <v>3216</v>
      </c>
      <c r="B217" t="s">
        <v>96</v>
      </c>
      <c r="C217" t="s">
        <v>192</v>
      </c>
      <c r="D217" s="7">
        <v>34063</v>
      </c>
      <c r="E217" s="7">
        <v>46099</v>
      </c>
      <c r="F217">
        <v>1003</v>
      </c>
      <c r="G217">
        <v>2009</v>
      </c>
      <c r="H217" t="s">
        <v>21</v>
      </c>
      <c r="I217" t="s">
        <v>72</v>
      </c>
      <c r="J217" s="7"/>
      <c r="K217" t="s">
        <v>68</v>
      </c>
    </row>
    <row r="218" spans="1:11">
      <c r="A218">
        <v>3217</v>
      </c>
      <c r="B218" t="s">
        <v>148</v>
      </c>
      <c r="C218" t="s">
        <v>78</v>
      </c>
      <c r="D218" s="7">
        <v>20050</v>
      </c>
      <c r="E218" s="7">
        <v>45719</v>
      </c>
      <c r="F218">
        <v>1002</v>
      </c>
      <c r="G218">
        <v>2005</v>
      </c>
      <c r="H218" t="s">
        <v>86</v>
      </c>
      <c r="I218" t="s">
        <v>81</v>
      </c>
      <c r="J218" s="7"/>
      <c r="K218" t="s">
        <v>68</v>
      </c>
    </row>
    <row r="219" spans="1:11">
      <c r="A219">
        <v>3218</v>
      </c>
      <c r="B219" t="s">
        <v>92</v>
      </c>
      <c r="C219" t="s">
        <v>78</v>
      </c>
      <c r="D219" s="7">
        <v>31888</v>
      </c>
      <c r="E219" s="7">
        <v>46088</v>
      </c>
      <c r="F219">
        <v>1002</v>
      </c>
      <c r="G219">
        <v>2005</v>
      </c>
      <c r="H219" t="s">
        <v>21</v>
      </c>
      <c r="I219" t="s">
        <v>67</v>
      </c>
      <c r="J219" s="7"/>
      <c r="K219" t="s">
        <v>68</v>
      </c>
    </row>
    <row r="220" spans="1:11">
      <c r="A220">
        <v>3219</v>
      </c>
      <c r="B220" t="s">
        <v>170</v>
      </c>
      <c r="C220" t="s">
        <v>137</v>
      </c>
      <c r="D220" s="7">
        <v>20405</v>
      </c>
      <c r="E220" s="7">
        <v>45798</v>
      </c>
      <c r="F220">
        <v>1006</v>
      </c>
      <c r="G220">
        <v>2017</v>
      </c>
      <c r="H220" t="s">
        <v>21</v>
      </c>
      <c r="I220" t="s">
        <v>81</v>
      </c>
      <c r="J220" s="7"/>
      <c r="K220" t="s">
        <v>68</v>
      </c>
    </row>
    <row r="221" spans="1:11">
      <c r="A221">
        <v>3220</v>
      </c>
      <c r="B221" t="s">
        <v>171</v>
      </c>
      <c r="C221" t="s">
        <v>108</v>
      </c>
      <c r="D221" s="7">
        <v>31508</v>
      </c>
      <c r="E221" s="7">
        <v>45813</v>
      </c>
      <c r="F221">
        <v>1003</v>
      </c>
      <c r="G221">
        <v>2008</v>
      </c>
      <c r="H221" t="s">
        <v>106</v>
      </c>
      <c r="I221" t="s">
        <v>72</v>
      </c>
      <c r="J221" s="7">
        <v>45915</v>
      </c>
      <c r="K221" t="s">
        <v>121</v>
      </c>
    </row>
    <row r="222" spans="1:11">
      <c r="A222">
        <v>3221</v>
      </c>
      <c r="B222" t="s">
        <v>126</v>
      </c>
      <c r="C222" t="s">
        <v>173</v>
      </c>
      <c r="D222" s="7">
        <v>32749</v>
      </c>
      <c r="E222" s="7">
        <v>45280</v>
      </c>
      <c r="F222">
        <v>1003</v>
      </c>
      <c r="G222">
        <v>2009</v>
      </c>
      <c r="H222" t="s">
        <v>21</v>
      </c>
      <c r="I222" t="s">
        <v>67</v>
      </c>
      <c r="J222" s="7"/>
      <c r="K222" t="s">
        <v>68</v>
      </c>
    </row>
    <row r="223" spans="1:11">
      <c r="A223">
        <v>3222</v>
      </c>
      <c r="B223" t="s">
        <v>154</v>
      </c>
      <c r="C223" t="s">
        <v>173</v>
      </c>
      <c r="D223" s="7">
        <v>28526</v>
      </c>
      <c r="E223" s="7">
        <v>45746</v>
      </c>
      <c r="F223">
        <v>1002</v>
      </c>
      <c r="G223">
        <v>2006</v>
      </c>
      <c r="H223" t="s">
        <v>21</v>
      </c>
      <c r="I223" t="s">
        <v>67</v>
      </c>
      <c r="J223" s="7"/>
      <c r="K223" t="s">
        <v>68</v>
      </c>
    </row>
    <row r="224" spans="1:11">
      <c r="A224">
        <v>3223</v>
      </c>
      <c r="B224" t="s">
        <v>107</v>
      </c>
      <c r="C224" t="s">
        <v>122</v>
      </c>
      <c r="D224" s="7">
        <v>33490</v>
      </c>
      <c r="E224" s="7">
        <v>45205</v>
      </c>
      <c r="F224">
        <v>1006</v>
      </c>
      <c r="G224">
        <v>2018</v>
      </c>
      <c r="H224" t="s">
        <v>21</v>
      </c>
      <c r="I224" t="s">
        <v>67</v>
      </c>
      <c r="J224" s="7"/>
      <c r="K224" t="s">
        <v>68</v>
      </c>
    </row>
    <row r="225" spans="1:11">
      <c r="A225">
        <v>3224</v>
      </c>
      <c r="B225" t="s">
        <v>152</v>
      </c>
      <c r="C225" t="s">
        <v>111</v>
      </c>
      <c r="D225" s="7">
        <v>20718</v>
      </c>
      <c r="E225" s="7">
        <v>45272</v>
      </c>
      <c r="F225">
        <v>1003</v>
      </c>
      <c r="G225">
        <v>2009</v>
      </c>
      <c r="H225" t="s">
        <v>106</v>
      </c>
      <c r="I225" t="s">
        <v>67</v>
      </c>
      <c r="J225" s="7">
        <v>45966</v>
      </c>
      <c r="K225" t="s">
        <v>112</v>
      </c>
    </row>
    <row r="226" spans="1:11">
      <c r="A226">
        <v>3225</v>
      </c>
      <c r="B226" t="s">
        <v>182</v>
      </c>
      <c r="C226" t="s">
        <v>93</v>
      </c>
      <c r="D226" s="7">
        <v>23517</v>
      </c>
      <c r="E226" s="7">
        <v>46016</v>
      </c>
      <c r="F226">
        <v>1005</v>
      </c>
      <c r="G226">
        <v>2015</v>
      </c>
      <c r="H226" t="s">
        <v>21</v>
      </c>
      <c r="I226" t="s">
        <v>81</v>
      </c>
      <c r="J226" s="7"/>
      <c r="K226" t="s">
        <v>68</v>
      </c>
    </row>
    <row r="227" spans="1:11">
      <c r="A227">
        <v>3226</v>
      </c>
      <c r="B227" t="s">
        <v>147</v>
      </c>
      <c r="C227" t="s">
        <v>181</v>
      </c>
      <c r="D227" s="7">
        <v>31384</v>
      </c>
      <c r="E227" s="7">
        <v>45185</v>
      </c>
      <c r="F227">
        <v>1001</v>
      </c>
      <c r="G227">
        <v>2002</v>
      </c>
      <c r="H227" t="s">
        <v>86</v>
      </c>
      <c r="I227" t="s">
        <v>67</v>
      </c>
      <c r="J227" s="7"/>
      <c r="K227" t="s">
        <v>68</v>
      </c>
    </row>
    <row r="228" spans="1:11">
      <c r="A228">
        <v>3227</v>
      </c>
      <c r="B228" t="s">
        <v>152</v>
      </c>
      <c r="C228" t="s">
        <v>88</v>
      </c>
      <c r="D228" s="7">
        <v>21358</v>
      </c>
      <c r="E228" s="7">
        <v>45400</v>
      </c>
      <c r="F228">
        <v>1006</v>
      </c>
      <c r="G228">
        <v>2018</v>
      </c>
      <c r="H228" t="s">
        <v>106</v>
      </c>
      <c r="I228" t="s">
        <v>67</v>
      </c>
      <c r="J228" s="7">
        <v>45949</v>
      </c>
      <c r="K228" t="s">
        <v>76</v>
      </c>
    </row>
    <row r="229" spans="1:11">
      <c r="A229">
        <v>3228</v>
      </c>
      <c r="B229" t="s">
        <v>98</v>
      </c>
      <c r="C229" t="s">
        <v>125</v>
      </c>
      <c r="D229" s="7">
        <v>24935</v>
      </c>
      <c r="E229" s="7">
        <v>46141</v>
      </c>
      <c r="F229">
        <v>1006</v>
      </c>
      <c r="G229">
        <v>2018</v>
      </c>
      <c r="H229" t="s">
        <v>21</v>
      </c>
      <c r="I229" t="s">
        <v>67</v>
      </c>
      <c r="J229" s="7"/>
      <c r="K229" t="s">
        <v>68</v>
      </c>
    </row>
    <row r="230" spans="1:11">
      <c r="A230">
        <v>3229</v>
      </c>
      <c r="B230" t="s">
        <v>135</v>
      </c>
      <c r="C230" t="s">
        <v>80</v>
      </c>
      <c r="D230" s="7">
        <v>33462</v>
      </c>
      <c r="E230" s="7">
        <v>45558</v>
      </c>
      <c r="F230">
        <v>1005</v>
      </c>
      <c r="G230">
        <v>2013</v>
      </c>
      <c r="H230" t="s">
        <v>21</v>
      </c>
      <c r="I230" t="s">
        <v>67</v>
      </c>
      <c r="J230" s="7"/>
      <c r="K230" t="s">
        <v>68</v>
      </c>
    </row>
    <row r="231" spans="1:11">
      <c r="A231">
        <v>3230</v>
      </c>
      <c r="B231" t="s">
        <v>140</v>
      </c>
      <c r="C231" t="s">
        <v>174</v>
      </c>
      <c r="D231" s="7">
        <v>21265</v>
      </c>
      <c r="E231" s="7">
        <v>46044</v>
      </c>
      <c r="F231">
        <v>1006</v>
      </c>
      <c r="G231">
        <v>2018</v>
      </c>
      <c r="H231" t="s">
        <v>21</v>
      </c>
      <c r="I231" t="s">
        <v>67</v>
      </c>
      <c r="J231" s="7"/>
      <c r="K231" t="s">
        <v>68</v>
      </c>
    </row>
    <row r="232" spans="1:11">
      <c r="A232">
        <v>3231</v>
      </c>
      <c r="B232" t="s">
        <v>79</v>
      </c>
      <c r="C232" t="s">
        <v>175</v>
      </c>
      <c r="D232" s="7">
        <v>29311</v>
      </c>
      <c r="E232" s="7">
        <v>45830</v>
      </c>
      <c r="F232">
        <v>1004</v>
      </c>
      <c r="G232">
        <v>2011</v>
      </c>
      <c r="H232" t="s">
        <v>75</v>
      </c>
      <c r="I232" t="s">
        <v>81</v>
      </c>
      <c r="J232" s="7">
        <v>46200</v>
      </c>
      <c r="K232" t="s">
        <v>142</v>
      </c>
    </row>
    <row r="233" spans="1:11">
      <c r="A233">
        <v>3232</v>
      </c>
      <c r="B233" t="s">
        <v>128</v>
      </c>
      <c r="C233" t="s">
        <v>167</v>
      </c>
      <c r="D233" s="7">
        <v>24543</v>
      </c>
      <c r="E233" s="7">
        <v>45859</v>
      </c>
      <c r="F233">
        <v>1003</v>
      </c>
      <c r="G233">
        <v>2008</v>
      </c>
      <c r="H233" t="s">
        <v>75</v>
      </c>
      <c r="I233" t="s">
        <v>72</v>
      </c>
      <c r="J233" s="7">
        <v>46126</v>
      </c>
      <c r="K233" t="s">
        <v>91</v>
      </c>
    </row>
    <row r="234" spans="1:11">
      <c r="A234">
        <v>3233</v>
      </c>
      <c r="B234" t="s">
        <v>119</v>
      </c>
      <c r="C234" t="s">
        <v>133</v>
      </c>
      <c r="D234" s="7">
        <v>36993</v>
      </c>
      <c r="E234" s="7">
        <v>45874</v>
      </c>
      <c r="F234">
        <v>1002</v>
      </c>
      <c r="G234">
        <v>2005</v>
      </c>
      <c r="H234" t="s">
        <v>75</v>
      </c>
      <c r="I234" t="s">
        <v>67</v>
      </c>
      <c r="J234" s="7">
        <v>46120</v>
      </c>
      <c r="K234" t="s">
        <v>149</v>
      </c>
    </row>
    <row r="235" spans="1:11">
      <c r="A235">
        <v>3234</v>
      </c>
      <c r="B235" t="s">
        <v>177</v>
      </c>
      <c r="C235" t="s">
        <v>158</v>
      </c>
      <c r="D235" s="7">
        <v>34523</v>
      </c>
      <c r="E235" s="7">
        <v>46195</v>
      </c>
      <c r="F235">
        <v>1001</v>
      </c>
      <c r="G235">
        <v>2002</v>
      </c>
      <c r="H235" t="s">
        <v>21</v>
      </c>
      <c r="I235" t="s">
        <v>81</v>
      </c>
      <c r="J235" s="7"/>
      <c r="K235" t="s">
        <v>68</v>
      </c>
    </row>
    <row r="236" spans="1:11">
      <c r="A236">
        <v>3235</v>
      </c>
      <c r="B236" t="s">
        <v>132</v>
      </c>
      <c r="C236" t="s">
        <v>176</v>
      </c>
      <c r="D236" s="7">
        <v>21269</v>
      </c>
      <c r="E236" s="7">
        <v>46040</v>
      </c>
      <c r="F236">
        <v>1004</v>
      </c>
      <c r="G236">
        <v>2011</v>
      </c>
      <c r="H236" t="s">
        <v>21</v>
      </c>
      <c r="I236" t="s">
        <v>67</v>
      </c>
      <c r="J236" s="7"/>
      <c r="K236" t="s">
        <v>68</v>
      </c>
    </row>
    <row r="237" spans="1:11">
      <c r="A237">
        <v>3236</v>
      </c>
      <c r="B237" t="s">
        <v>82</v>
      </c>
      <c r="C237" t="s">
        <v>93</v>
      </c>
      <c r="D237" s="7">
        <v>36904</v>
      </c>
      <c r="E237" s="7">
        <v>45491</v>
      </c>
      <c r="F237">
        <v>1005</v>
      </c>
      <c r="G237">
        <v>2014</v>
      </c>
      <c r="H237" t="s">
        <v>21</v>
      </c>
      <c r="I237" t="s">
        <v>81</v>
      </c>
      <c r="J237" s="7"/>
      <c r="K237" t="s">
        <v>68</v>
      </c>
    </row>
    <row r="238" spans="1:11">
      <c r="A238">
        <v>3237</v>
      </c>
      <c r="B238" t="s">
        <v>123</v>
      </c>
      <c r="C238" t="s">
        <v>174</v>
      </c>
      <c r="D238" s="7">
        <v>28804</v>
      </c>
      <c r="E238" s="7">
        <v>45456</v>
      </c>
      <c r="F238">
        <v>1004</v>
      </c>
      <c r="G238">
        <v>2011</v>
      </c>
      <c r="H238" t="s">
        <v>75</v>
      </c>
      <c r="I238" t="s">
        <v>72</v>
      </c>
      <c r="J238" s="7">
        <v>45628</v>
      </c>
      <c r="K238" t="s">
        <v>76</v>
      </c>
    </row>
    <row r="239" spans="1:11">
      <c r="A239">
        <v>3238</v>
      </c>
      <c r="B239" t="s">
        <v>96</v>
      </c>
      <c r="C239" t="s">
        <v>114</v>
      </c>
      <c r="D239" s="7">
        <v>28146</v>
      </c>
      <c r="E239" s="7">
        <v>45280</v>
      </c>
      <c r="F239">
        <v>1002</v>
      </c>
      <c r="G239">
        <v>2006</v>
      </c>
      <c r="H239" t="s">
        <v>106</v>
      </c>
      <c r="I239" t="s">
        <v>72</v>
      </c>
      <c r="J239" s="7">
        <v>45543</v>
      </c>
      <c r="K239" t="s">
        <v>91</v>
      </c>
    </row>
    <row r="240" spans="1:11">
      <c r="A240">
        <v>3239</v>
      </c>
      <c r="B240" t="s">
        <v>110</v>
      </c>
      <c r="C240" t="s">
        <v>97</v>
      </c>
      <c r="D240" s="7">
        <v>21900</v>
      </c>
      <c r="E240" s="7">
        <v>46148</v>
      </c>
      <c r="F240">
        <v>1003</v>
      </c>
      <c r="G240">
        <v>2007</v>
      </c>
      <c r="H240" t="s">
        <v>21</v>
      </c>
      <c r="I240" t="s">
        <v>72</v>
      </c>
      <c r="J240" s="7"/>
      <c r="K240" t="s">
        <v>68</v>
      </c>
    </row>
    <row r="241" spans="1:11">
      <c r="A241">
        <v>3240</v>
      </c>
      <c r="B241" t="s">
        <v>161</v>
      </c>
      <c r="C241" t="s">
        <v>90</v>
      </c>
      <c r="D241" s="7">
        <v>38668</v>
      </c>
      <c r="E241" s="7">
        <v>45810</v>
      </c>
      <c r="F241">
        <v>1005</v>
      </c>
      <c r="G241">
        <v>2015</v>
      </c>
      <c r="H241" t="s">
        <v>21</v>
      </c>
      <c r="I241" t="s">
        <v>72</v>
      </c>
      <c r="J241" s="7"/>
      <c r="K241" t="s">
        <v>68</v>
      </c>
    </row>
    <row r="242" spans="1:11">
      <c r="A242">
        <v>3241</v>
      </c>
      <c r="B242" t="s">
        <v>110</v>
      </c>
      <c r="C242" t="s">
        <v>74</v>
      </c>
      <c r="D242" s="7">
        <v>37738</v>
      </c>
      <c r="E242" s="7">
        <v>45661</v>
      </c>
      <c r="F242">
        <v>1001</v>
      </c>
      <c r="G242">
        <v>2002</v>
      </c>
      <c r="H242" t="s">
        <v>21</v>
      </c>
      <c r="I242" t="s">
        <v>81</v>
      </c>
      <c r="J242" s="7"/>
      <c r="K242" t="s">
        <v>68</v>
      </c>
    </row>
    <row r="243" spans="1:11">
      <c r="A243">
        <v>3242</v>
      </c>
      <c r="B243" t="s">
        <v>110</v>
      </c>
      <c r="C243" t="s">
        <v>150</v>
      </c>
      <c r="D243" s="7">
        <v>39389</v>
      </c>
      <c r="E243" s="7">
        <v>45712</v>
      </c>
      <c r="F243">
        <v>1005</v>
      </c>
      <c r="G243">
        <v>2014</v>
      </c>
      <c r="H243" t="s">
        <v>21</v>
      </c>
      <c r="I243" t="s">
        <v>67</v>
      </c>
      <c r="J243" s="7"/>
      <c r="K243" t="s">
        <v>68</v>
      </c>
    </row>
    <row r="244" spans="1:11">
      <c r="A244">
        <v>3243</v>
      </c>
      <c r="B244" t="s">
        <v>117</v>
      </c>
      <c r="C244" t="s">
        <v>97</v>
      </c>
      <c r="D244" s="7">
        <v>28585</v>
      </c>
      <c r="E244" s="7">
        <v>46047</v>
      </c>
      <c r="F244">
        <v>1004</v>
      </c>
      <c r="G244">
        <v>2011</v>
      </c>
      <c r="H244" t="s">
        <v>75</v>
      </c>
      <c r="I244" t="s">
        <v>72</v>
      </c>
      <c r="J244" s="7">
        <v>46072</v>
      </c>
      <c r="K244" t="s">
        <v>112</v>
      </c>
    </row>
    <row r="245" spans="1:11">
      <c r="A245">
        <v>3244</v>
      </c>
      <c r="B245" t="s">
        <v>163</v>
      </c>
      <c r="C245" t="s">
        <v>122</v>
      </c>
      <c r="D245" s="7">
        <v>38718</v>
      </c>
      <c r="E245" s="7">
        <v>45413</v>
      </c>
      <c r="F245">
        <v>1004</v>
      </c>
      <c r="G245">
        <v>2012</v>
      </c>
      <c r="H245" t="s">
        <v>21</v>
      </c>
      <c r="I245" t="s">
        <v>67</v>
      </c>
      <c r="J245" s="7"/>
      <c r="K245" t="s">
        <v>68</v>
      </c>
    </row>
    <row r="246" spans="1:11">
      <c r="A246">
        <v>3245</v>
      </c>
      <c r="B246" t="s">
        <v>103</v>
      </c>
      <c r="C246" t="s">
        <v>111</v>
      </c>
      <c r="D246" s="7">
        <v>31904</v>
      </c>
      <c r="E246" s="7">
        <v>45386</v>
      </c>
      <c r="F246">
        <v>1006</v>
      </c>
      <c r="G246">
        <v>2018</v>
      </c>
      <c r="H246" t="s">
        <v>86</v>
      </c>
      <c r="I246" t="s">
        <v>81</v>
      </c>
      <c r="J246" s="7"/>
      <c r="K246" t="s">
        <v>68</v>
      </c>
    </row>
    <row r="247" spans="1:11">
      <c r="A247">
        <v>3246</v>
      </c>
      <c r="B247" t="s">
        <v>154</v>
      </c>
      <c r="C247" t="s">
        <v>193</v>
      </c>
      <c r="D247" s="7">
        <v>22853</v>
      </c>
      <c r="E247" s="7">
        <v>45666</v>
      </c>
      <c r="F247">
        <v>1005</v>
      </c>
      <c r="G247">
        <v>2015</v>
      </c>
      <c r="H247" t="s">
        <v>21</v>
      </c>
      <c r="I247" t="s">
        <v>67</v>
      </c>
      <c r="J247" s="7"/>
      <c r="K247" t="s">
        <v>68</v>
      </c>
    </row>
    <row r="248" spans="1:11">
      <c r="A248">
        <v>3247</v>
      </c>
      <c r="B248" t="s">
        <v>166</v>
      </c>
      <c r="C248" t="s">
        <v>122</v>
      </c>
      <c r="D248" s="7">
        <v>39003</v>
      </c>
      <c r="E248" s="7">
        <v>45975</v>
      </c>
      <c r="F248">
        <v>1002</v>
      </c>
      <c r="G248">
        <v>2005</v>
      </c>
      <c r="H248" t="s">
        <v>21</v>
      </c>
      <c r="I248" t="s">
        <v>81</v>
      </c>
      <c r="J248" s="7"/>
      <c r="K248" t="s">
        <v>68</v>
      </c>
    </row>
    <row r="249" spans="1:11">
      <c r="A249">
        <v>3248</v>
      </c>
      <c r="B249" t="s">
        <v>132</v>
      </c>
      <c r="C249" t="s">
        <v>108</v>
      </c>
      <c r="D249" s="7">
        <v>25059</v>
      </c>
      <c r="E249" s="7">
        <v>45445</v>
      </c>
      <c r="F249">
        <v>1002</v>
      </c>
      <c r="G249">
        <v>2006</v>
      </c>
      <c r="H249" t="s">
        <v>106</v>
      </c>
      <c r="I249" t="s">
        <v>72</v>
      </c>
      <c r="J249" s="7">
        <v>45962</v>
      </c>
      <c r="K249" t="s">
        <v>149</v>
      </c>
    </row>
    <row r="250" spans="1:11">
      <c r="A250">
        <v>3249</v>
      </c>
      <c r="B250" t="s">
        <v>166</v>
      </c>
      <c r="C250" t="s">
        <v>74</v>
      </c>
      <c r="D250" s="7">
        <v>35401</v>
      </c>
      <c r="E250" s="7">
        <v>46055</v>
      </c>
      <c r="F250">
        <v>1003</v>
      </c>
      <c r="G250">
        <v>2008</v>
      </c>
      <c r="H250" t="s">
        <v>21</v>
      </c>
      <c r="I250" t="s">
        <v>81</v>
      </c>
      <c r="J250" s="7"/>
      <c r="K250" t="s">
        <v>68</v>
      </c>
    </row>
    <row r="251" spans="1:11">
      <c r="A251">
        <v>3250</v>
      </c>
      <c r="B251" t="s">
        <v>153</v>
      </c>
      <c r="C251" t="s">
        <v>175</v>
      </c>
      <c r="D251" s="7">
        <v>38418</v>
      </c>
      <c r="E251" s="7">
        <v>46082</v>
      </c>
      <c r="F251">
        <v>1005</v>
      </c>
      <c r="G251">
        <v>2014</v>
      </c>
      <c r="H251" t="s">
        <v>21</v>
      </c>
      <c r="I251" t="s">
        <v>67</v>
      </c>
      <c r="J251" s="7"/>
      <c r="K251" t="s">
        <v>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E541D-9487-495D-978B-6EB5B98514FF}">
  <dimension ref="A1:I2924"/>
  <sheetViews>
    <sheetView workbookViewId="0">
      <selection activeCell="E6" sqref="E6"/>
    </sheetView>
  </sheetViews>
  <sheetFormatPr defaultRowHeight="15"/>
  <cols>
    <col min="1" max="1" width="11.85546875" bestFit="1" customWidth="1"/>
    <col min="2" max="2" width="10.42578125" bestFit="1" customWidth="1"/>
    <col min="3" max="3" width="9.28515625" bestFit="1" customWidth="1"/>
    <col min="4" max="4" width="14.140625" style="7" bestFit="1" customWidth="1"/>
    <col min="5" max="5" width="17.28515625" bestFit="1" customWidth="1"/>
    <col min="6" max="6" width="18.28515625" bestFit="1" customWidth="1"/>
    <col min="7" max="7" width="25.5703125" bestFit="1" customWidth="1"/>
    <col min="8" max="8" width="16.140625" bestFit="1" customWidth="1"/>
    <col min="9" max="9" width="23.42578125" bestFit="1" customWidth="1"/>
  </cols>
  <sheetData>
    <row r="1" spans="1:9">
      <c r="A1" t="s">
        <v>194</v>
      </c>
      <c r="B1" t="s">
        <v>55</v>
      </c>
      <c r="C1" t="s">
        <v>27</v>
      </c>
      <c r="D1" s="7" t="s">
        <v>195</v>
      </c>
      <c r="E1" t="s">
        <v>196</v>
      </c>
      <c r="F1" t="s">
        <v>197</v>
      </c>
      <c r="G1" t="s">
        <v>198</v>
      </c>
      <c r="H1" t="s">
        <v>199</v>
      </c>
      <c r="I1" t="s">
        <v>200</v>
      </c>
    </row>
    <row r="2" spans="1:9">
      <c r="A2">
        <v>50001</v>
      </c>
      <c r="B2">
        <v>3001</v>
      </c>
      <c r="C2">
        <v>2017</v>
      </c>
      <c r="D2" s="7">
        <v>45408</v>
      </c>
      <c r="E2" t="s">
        <v>201</v>
      </c>
      <c r="F2" t="s">
        <v>202</v>
      </c>
      <c r="G2">
        <v>90</v>
      </c>
      <c r="H2" s="7">
        <v>45422</v>
      </c>
      <c r="I2" t="s">
        <v>203</v>
      </c>
    </row>
    <row r="3" spans="1:9">
      <c r="A3">
        <v>50002</v>
      </c>
      <c r="B3">
        <v>3001</v>
      </c>
      <c r="C3">
        <v>2017</v>
      </c>
      <c r="D3" s="7">
        <v>45442</v>
      </c>
      <c r="E3" t="s">
        <v>204</v>
      </c>
      <c r="F3" t="s">
        <v>205</v>
      </c>
      <c r="H3" s="7"/>
      <c r="I3" t="s">
        <v>206</v>
      </c>
    </row>
    <row r="4" spans="1:9">
      <c r="A4">
        <v>50003</v>
      </c>
      <c r="B4">
        <v>3001</v>
      </c>
      <c r="C4">
        <v>2017</v>
      </c>
      <c r="D4" s="7">
        <v>45605</v>
      </c>
      <c r="E4" t="s">
        <v>201</v>
      </c>
      <c r="F4" t="s">
        <v>202</v>
      </c>
      <c r="G4">
        <v>60</v>
      </c>
      <c r="H4" s="7">
        <v>45626</v>
      </c>
      <c r="I4" t="s">
        <v>207</v>
      </c>
    </row>
    <row r="5" spans="1:9">
      <c r="A5">
        <v>50004</v>
      </c>
      <c r="B5">
        <v>3001</v>
      </c>
      <c r="C5">
        <v>2017</v>
      </c>
      <c r="D5" s="7">
        <v>45730</v>
      </c>
      <c r="E5" t="s">
        <v>204</v>
      </c>
      <c r="F5" t="s">
        <v>202</v>
      </c>
      <c r="G5">
        <v>10</v>
      </c>
      <c r="H5" s="7">
        <v>45751</v>
      </c>
      <c r="I5" t="s">
        <v>203</v>
      </c>
    </row>
    <row r="6" spans="1:9">
      <c r="A6">
        <v>50005</v>
      </c>
      <c r="B6">
        <v>3001</v>
      </c>
      <c r="C6">
        <v>2017</v>
      </c>
      <c r="D6" s="7">
        <v>45875</v>
      </c>
      <c r="E6" t="s">
        <v>208</v>
      </c>
      <c r="F6" t="s">
        <v>202</v>
      </c>
      <c r="G6">
        <v>10</v>
      </c>
      <c r="H6" s="7">
        <v>45882</v>
      </c>
      <c r="I6" t="s">
        <v>209</v>
      </c>
    </row>
    <row r="7" spans="1:9">
      <c r="A7">
        <v>50006</v>
      </c>
      <c r="B7">
        <v>3001</v>
      </c>
      <c r="C7">
        <v>2017</v>
      </c>
      <c r="D7" s="7">
        <v>45904</v>
      </c>
      <c r="E7" t="s">
        <v>210</v>
      </c>
      <c r="F7" t="s">
        <v>202</v>
      </c>
      <c r="G7">
        <v>60</v>
      </c>
      <c r="H7" s="7">
        <v>45907</v>
      </c>
      <c r="I7" t="s">
        <v>211</v>
      </c>
    </row>
    <row r="8" spans="1:9">
      <c r="A8">
        <v>50007</v>
      </c>
      <c r="B8">
        <v>3001</v>
      </c>
      <c r="C8">
        <v>2017</v>
      </c>
      <c r="D8" s="7">
        <v>45914</v>
      </c>
      <c r="E8" t="s">
        <v>212</v>
      </c>
      <c r="F8" t="s">
        <v>213</v>
      </c>
      <c r="H8" s="7">
        <v>45944</v>
      </c>
      <c r="I8" t="s">
        <v>207</v>
      </c>
    </row>
    <row r="9" spans="1:9">
      <c r="A9">
        <v>50008</v>
      </c>
      <c r="B9">
        <v>3001</v>
      </c>
      <c r="C9">
        <v>2017</v>
      </c>
      <c r="D9" s="7">
        <v>45938</v>
      </c>
      <c r="E9" t="s">
        <v>204</v>
      </c>
      <c r="F9" t="s">
        <v>202</v>
      </c>
      <c r="G9">
        <v>90</v>
      </c>
      <c r="H9" s="7">
        <v>45959</v>
      </c>
      <c r="I9" t="s">
        <v>207</v>
      </c>
    </row>
    <row r="10" spans="1:9">
      <c r="A10">
        <v>50009</v>
      </c>
      <c r="B10">
        <v>3001</v>
      </c>
      <c r="C10">
        <v>2017</v>
      </c>
      <c r="D10" s="7">
        <v>45968</v>
      </c>
      <c r="E10" t="s">
        <v>208</v>
      </c>
      <c r="F10" t="s">
        <v>214</v>
      </c>
      <c r="H10" s="7">
        <v>45975</v>
      </c>
      <c r="I10" t="s">
        <v>203</v>
      </c>
    </row>
    <row r="11" spans="1:9">
      <c r="A11">
        <v>50010</v>
      </c>
      <c r="B11">
        <v>3001</v>
      </c>
      <c r="C11">
        <v>2017</v>
      </c>
      <c r="D11" s="7">
        <v>46081</v>
      </c>
      <c r="E11" t="s">
        <v>204</v>
      </c>
      <c r="F11" t="s">
        <v>205</v>
      </c>
      <c r="H11" s="7"/>
      <c r="I11" t="s">
        <v>209</v>
      </c>
    </row>
    <row r="12" spans="1:9">
      <c r="A12">
        <v>50011</v>
      </c>
      <c r="B12">
        <v>3001</v>
      </c>
      <c r="C12">
        <v>2017</v>
      </c>
      <c r="D12" s="7">
        <v>46161</v>
      </c>
      <c r="E12" t="s">
        <v>212</v>
      </c>
      <c r="F12" t="s">
        <v>202</v>
      </c>
      <c r="G12">
        <v>20</v>
      </c>
      <c r="H12" s="7">
        <v>46191</v>
      </c>
      <c r="I12" t="s">
        <v>211</v>
      </c>
    </row>
    <row r="13" spans="1:9">
      <c r="A13">
        <v>50012</v>
      </c>
      <c r="B13">
        <v>3001</v>
      </c>
      <c r="C13">
        <v>2017</v>
      </c>
      <c r="D13" s="7">
        <v>46176</v>
      </c>
      <c r="E13" t="s">
        <v>212</v>
      </c>
      <c r="F13" t="s">
        <v>215</v>
      </c>
      <c r="G13">
        <v>30</v>
      </c>
      <c r="H13" s="7">
        <v>46197</v>
      </c>
      <c r="I13" t="s">
        <v>209</v>
      </c>
    </row>
    <row r="14" spans="1:9">
      <c r="A14">
        <v>50013</v>
      </c>
      <c r="B14">
        <v>3001</v>
      </c>
      <c r="C14">
        <v>2017</v>
      </c>
      <c r="D14" s="7">
        <v>46197</v>
      </c>
      <c r="E14" t="s">
        <v>204</v>
      </c>
      <c r="F14" t="s">
        <v>214</v>
      </c>
      <c r="H14" s="7">
        <v>46200</v>
      </c>
      <c r="I14" t="s">
        <v>216</v>
      </c>
    </row>
    <row r="15" spans="1:9">
      <c r="A15">
        <v>50014</v>
      </c>
      <c r="B15">
        <v>3002</v>
      </c>
      <c r="C15">
        <v>2017</v>
      </c>
      <c r="D15" s="7">
        <v>45579</v>
      </c>
      <c r="E15" t="s">
        <v>204</v>
      </c>
      <c r="F15" t="s">
        <v>202</v>
      </c>
      <c r="G15">
        <v>45</v>
      </c>
      <c r="H15" s="7">
        <v>45600</v>
      </c>
      <c r="I15" t="s">
        <v>217</v>
      </c>
    </row>
    <row r="16" spans="1:9">
      <c r="A16">
        <v>50015</v>
      </c>
      <c r="B16">
        <v>3002</v>
      </c>
      <c r="C16">
        <v>2017</v>
      </c>
      <c r="D16" s="7">
        <v>45654</v>
      </c>
      <c r="E16" t="s">
        <v>208</v>
      </c>
      <c r="F16" t="s">
        <v>202</v>
      </c>
      <c r="G16">
        <v>60</v>
      </c>
      <c r="H16" s="7">
        <v>45668</v>
      </c>
      <c r="I16" t="s">
        <v>216</v>
      </c>
    </row>
    <row r="17" spans="1:9">
      <c r="A17">
        <v>50016</v>
      </c>
      <c r="B17">
        <v>3002</v>
      </c>
      <c r="C17">
        <v>2017</v>
      </c>
      <c r="D17" s="7">
        <v>45792</v>
      </c>
      <c r="E17" t="s">
        <v>212</v>
      </c>
      <c r="F17" t="s">
        <v>202</v>
      </c>
      <c r="G17">
        <v>20</v>
      </c>
      <c r="H17" s="7">
        <v>45822</v>
      </c>
      <c r="I17" t="s">
        <v>211</v>
      </c>
    </row>
    <row r="18" spans="1:9">
      <c r="A18">
        <v>50017</v>
      </c>
      <c r="B18">
        <v>3002</v>
      </c>
      <c r="C18">
        <v>2017</v>
      </c>
      <c r="D18" s="7">
        <v>45827</v>
      </c>
      <c r="E18" t="s">
        <v>210</v>
      </c>
      <c r="F18" t="s">
        <v>213</v>
      </c>
      <c r="H18" s="7">
        <v>45841</v>
      </c>
      <c r="I18" t="s">
        <v>203</v>
      </c>
    </row>
    <row r="19" spans="1:9">
      <c r="A19">
        <v>50018</v>
      </c>
      <c r="B19">
        <v>3002</v>
      </c>
      <c r="C19">
        <v>2017</v>
      </c>
      <c r="D19" s="7">
        <v>46052</v>
      </c>
      <c r="E19" t="s">
        <v>212</v>
      </c>
      <c r="F19" t="s">
        <v>218</v>
      </c>
      <c r="H19" s="7"/>
      <c r="I19" t="s">
        <v>206</v>
      </c>
    </row>
    <row r="20" spans="1:9">
      <c r="A20">
        <v>50019</v>
      </c>
      <c r="B20">
        <v>3002</v>
      </c>
      <c r="C20">
        <v>2017</v>
      </c>
      <c r="D20" s="7">
        <v>46174</v>
      </c>
      <c r="E20" t="s">
        <v>210</v>
      </c>
      <c r="F20" t="s">
        <v>214</v>
      </c>
      <c r="H20" s="7">
        <v>46204</v>
      </c>
      <c r="I20" t="s">
        <v>211</v>
      </c>
    </row>
    <row r="21" spans="1:9">
      <c r="A21">
        <v>50020</v>
      </c>
      <c r="B21">
        <v>3003</v>
      </c>
      <c r="C21">
        <v>2013</v>
      </c>
      <c r="D21" s="7">
        <v>45978</v>
      </c>
      <c r="E21" t="s">
        <v>212</v>
      </c>
      <c r="F21" t="s">
        <v>213</v>
      </c>
      <c r="H21" s="7">
        <v>45985</v>
      </c>
      <c r="I21" t="s">
        <v>217</v>
      </c>
    </row>
    <row r="22" spans="1:9">
      <c r="A22">
        <v>50021</v>
      </c>
      <c r="B22">
        <v>3003</v>
      </c>
      <c r="C22">
        <v>2013</v>
      </c>
      <c r="D22" s="7">
        <v>45980</v>
      </c>
      <c r="E22" t="s">
        <v>219</v>
      </c>
      <c r="F22" t="s">
        <v>202</v>
      </c>
      <c r="G22">
        <v>90</v>
      </c>
      <c r="H22" s="7">
        <v>45994</v>
      </c>
      <c r="I22" t="s">
        <v>207</v>
      </c>
    </row>
    <row r="23" spans="1:9">
      <c r="A23">
        <v>50022</v>
      </c>
      <c r="B23">
        <v>3003</v>
      </c>
      <c r="C23">
        <v>2013</v>
      </c>
      <c r="D23" s="7">
        <v>46005</v>
      </c>
      <c r="E23" t="s">
        <v>212</v>
      </c>
      <c r="F23" t="s">
        <v>218</v>
      </c>
      <c r="H23" s="7"/>
      <c r="I23" t="s">
        <v>203</v>
      </c>
    </row>
    <row r="24" spans="1:9">
      <c r="A24">
        <v>50023</v>
      </c>
      <c r="B24">
        <v>3003</v>
      </c>
      <c r="C24">
        <v>2013</v>
      </c>
      <c r="D24" s="7">
        <v>46012</v>
      </c>
      <c r="E24" t="s">
        <v>212</v>
      </c>
      <c r="F24" t="s">
        <v>215</v>
      </c>
      <c r="G24">
        <v>20</v>
      </c>
      <c r="H24" s="7">
        <v>46033</v>
      </c>
      <c r="I24" t="s">
        <v>209</v>
      </c>
    </row>
    <row r="25" spans="1:9">
      <c r="A25">
        <v>50024</v>
      </c>
      <c r="B25">
        <v>3003</v>
      </c>
      <c r="C25">
        <v>2013</v>
      </c>
      <c r="D25" s="7">
        <v>46044</v>
      </c>
      <c r="E25" t="s">
        <v>201</v>
      </c>
      <c r="F25" t="s">
        <v>202</v>
      </c>
      <c r="G25">
        <v>10</v>
      </c>
      <c r="H25" s="7">
        <v>46074</v>
      </c>
      <c r="I25" t="s">
        <v>216</v>
      </c>
    </row>
    <row r="26" spans="1:9">
      <c r="A26">
        <v>50025</v>
      </c>
      <c r="B26">
        <v>3003</v>
      </c>
      <c r="C26">
        <v>2013</v>
      </c>
      <c r="D26" s="7">
        <v>46045</v>
      </c>
      <c r="E26" t="s">
        <v>204</v>
      </c>
      <c r="F26" t="s">
        <v>202</v>
      </c>
      <c r="G26">
        <v>15</v>
      </c>
      <c r="H26" s="7">
        <v>46052</v>
      </c>
      <c r="I26" t="s">
        <v>211</v>
      </c>
    </row>
    <row r="27" spans="1:9">
      <c r="A27">
        <v>50026</v>
      </c>
      <c r="B27">
        <v>3003</v>
      </c>
      <c r="C27">
        <v>2013</v>
      </c>
      <c r="D27" s="7">
        <v>46048</v>
      </c>
      <c r="E27" t="s">
        <v>201</v>
      </c>
      <c r="F27" t="s">
        <v>205</v>
      </c>
      <c r="H27" s="7"/>
      <c r="I27" t="s">
        <v>217</v>
      </c>
    </row>
    <row r="28" spans="1:9">
      <c r="A28">
        <v>50027</v>
      </c>
      <c r="B28">
        <v>3003</v>
      </c>
      <c r="C28">
        <v>2013</v>
      </c>
      <c r="D28" s="7">
        <v>46081</v>
      </c>
      <c r="E28" t="s">
        <v>204</v>
      </c>
      <c r="F28" t="s">
        <v>202</v>
      </c>
      <c r="G28">
        <v>10</v>
      </c>
      <c r="H28" s="7">
        <v>46095</v>
      </c>
      <c r="I28" t="s">
        <v>207</v>
      </c>
    </row>
    <row r="29" spans="1:9">
      <c r="A29">
        <v>50028</v>
      </c>
      <c r="B29">
        <v>3003</v>
      </c>
      <c r="C29">
        <v>2013</v>
      </c>
      <c r="D29" s="7">
        <v>46105</v>
      </c>
      <c r="E29" t="s">
        <v>210</v>
      </c>
      <c r="F29" t="s">
        <v>213</v>
      </c>
      <c r="H29" s="7">
        <v>46119</v>
      </c>
      <c r="I29" t="s">
        <v>203</v>
      </c>
    </row>
    <row r="30" spans="1:9">
      <c r="A30">
        <v>50029</v>
      </c>
      <c r="B30">
        <v>3003</v>
      </c>
      <c r="C30">
        <v>2013</v>
      </c>
      <c r="D30" s="7">
        <v>46109</v>
      </c>
      <c r="E30" t="s">
        <v>204</v>
      </c>
      <c r="F30" t="s">
        <v>213</v>
      </c>
      <c r="H30" s="7">
        <v>46139</v>
      </c>
      <c r="I30" t="s">
        <v>207</v>
      </c>
    </row>
    <row r="31" spans="1:9">
      <c r="A31">
        <v>50030</v>
      </c>
      <c r="B31">
        <v>3003</v>
      </c>
      <c r="C31">
        <v>2013</v>
      </c>
      <c r="D31" s="7">
        <v>46152</v>
      </c>
      <c r="E31" t="s">
        <v>204</v>
      </c>
      <c r="F31" t="s">
        <v>214</v>
      </c>
      <c r="H31" s="7">
        <v>46155</v>
      </c>
      <c r="I31" t="s">
        <v>217</v>
      </c>
    </row>
    <row r="32" spans="1:9">
      <c r="A32">
        <v>50031</v>
      </c>
      <c r="B32">
        <v>3003</v>
      </c>
      <c r="C32">
        <v>2013</v>
      </c>
      <c r="D32" s="7">
        <v>46187</v>
      </c>
      <c r="E32" t="s">
        <v>210</v>
      </c>
      <c r="F32" t="s">
        <v>214</v>
      </c>
      <c r="H32" s="7">
        <v>46201</v>
      </c>
      <c r="I32" t="s">
        <v>203</v>
      </c>
    </row>
    <row r="33" spans="1:9">
      <c r="A33">
        <v>50032</v>
      </c>
      <c r="B33">
        <v>3003</v>
      </c>
      <c r="C33">
        <v>2013</v>
      </c>
      <c r="D33" s="7">
        <v>46199</v>
      </c>
      <c r="E33" t="s">
        <v>210</v>
      </c>
      <c r="F33" t="s">
        <v>202</v>
      </c>
      <c r="G33">
        <v>20</v>
      </c>
      <c r="H33" s="7">
        <v>46206</v>
      </c>
      <c r="I33" t="s">
        <v>211</v>
      </c>
    </row>
    <row r="34" spans="1:9">
      <c r="A34">
        <v>50033</v>
      </c>
      <c r="B34">
        <v>3003</v>
      </c>
      <c r="C34">
        <v>2013</v>
      </c>
      <c r="D34" s="7">
        <v>46201</v>
      </c>
      <c r="E34" t="s">
        <v>212</v>
      </c>
      <c r="F34" t="s">
        <v>202</v>
      </c>
      <c r="G34">
        <v>30</v>
      </c>
      <c r="H34" s="7"/>
      <c r="I34" t="s">
        <v>207</v>
      </c>
    </row>
    <row r="35" spans="1:9">
      <c r="A35">
        <v>50034</v>
      </c>
      <c r="B35">
        <v>3004</v>
      </c>
      <c r="C35">
        <v>2014</v>
      </c>
      <c r="D35" s="7">
        <v>45984</v>
      </c>
      <c r="E35" t="s">
        <v>212</v>
      </c>
      <c r="F35" t="s">
        <v>213</v>
      </c>
      <c r="H35" s="7">
        <v>46005</v>
      </c>
      <c r="I35" t="s">
        <v>203</v>
      </c>
    </row>
    <row r="36" spans="1:9">
      <c r="A36">
        <v>50035</v>
      </c>
      <c r="B36">
        <v>3004</v>
      </c>
      <c r="C36">
        <v>2014</v>
      </c>
      <c r="D36" s="7">
        <v>45989</v>
      </c>
      <c r="E36" t="s">
        <v>201</v>
      </c>
      <c r="F36" t="s">
        <v>205</v>
      </c>
      <c r="H36" s="7"/>
      <c r="I36" t="s">
        <v>209</v>
      </c>
    </row>
    <row r="37" spans="1:9">
      <c r="A37">
        <v>50036</v>
      </c>
      <c r="B37">
        <v>3004</v>
      </c>
      <c r="C37">
        <v>2014</v>
      </c>
      <c r="D37" s="7">
        <v>45990</v>
      </c>
      <c r="E37" t="s">
        <v>204</v>
      </c>
      <c r="F37" t="s">
        <v>202</v>
      </c>
      <c r="G37">
        <v>30</v>
      </c>
      <c r="H37" s="7">
        <v>45993</v>
      </c>
      <c r="I37" t="s">
        <v>206</v>
      </c>
    </row>
    <row r="38" spans="1:9">
      <c r="A38">
        <v>50037</v>
      </c>
      <c r="B38">
        <v>3004</v>
      </c>
      <c r="C38">
        <v>2014</v>
      </c>
      <c r="D38" s="7">
        <v>46021</v>
      </c>
      <c r="E38" t="s">
        <v>201</v>
      </c>
      <c r="F38" t="s">
        <v>202</v>
      </c>
      <c r="G38">
        <v>45</v>
      </c>
      <c r="H38" s="7">
        <v>46035</v>
      </c>
      <c r="I38" t="s">
        <v>216</v>
      </c>
    </row>
    <row r="39" spans="1:9">
      <c r="A39">
        <v>50038</v>
      </c>
      <c r="B39">
        <v>3004</v>
      </c>
      <c r="C39">
        <v>2014</v>
      </c>
      <c r="D39" s="7">
        <v>46024</v>
      </c>
      <c r="E39" t="s">
        <v>210</v>
      </c>
      <c r="F39" t="s">
        <v>214</v>
      </c>
      <c r="H39" s="7">
        <v>46038</v>
      </c>
      <c r="I39" t="s">
        <v>207</v>
      </c>
    </row>
    <row r="40" spans="1:9">
      <c r="A40">
        <v>50039</v>
      </c>
      <c r="B40">
        <v>3004</v>
      </c>
      <c r="C40">
        <v>2014</v>
      </c>
      <c r="D40" s="7">
        <v>46028</v>
      </c>
      <c r="E40" t="s">
        <v>212</v>
      </c>
      <c r="F40" t="s">
        <v>205</v>
      </c>
      <c r="H40" s="7"/>
      <c r="I40" t="s">
        <v>206</v>
      </c>
    </row>
    <row r="41" spans="1:9">
      <c r="A41">
        <v>50040</v>
      </c>
      <c r="B41">
        <v>3004</v>
      </c>
      <c r="C41">
        <v>2014</v>
      </c>
      <c r="D41" s="7">
        <v>46031</v>
      </c>
      <c r="E41" t="s">
        <v>219</v>
      </c>
      <c r="F41" t="s">
        <v>214</v>
      </c>
      <c r="H41" s="7">
        <v>46061</v>
      </c>
      <c r="I41" t="s">
        <v>211</v>
      </c>
    </row>
    <row r="42" spans="1:9">
      <c r="A42">
        <v>50041</v>
      </c>
      <c r="B42">
        <v>3004</v>
      </c>
      <c r="C42">
        <v>2014</v>
      </c>
      <c r="D42" s="7">
        <v>46035</v>
      </c>
      <c r="E42" t="s">
        <v>204</v>
      </c>
      <c r="F42" t="s">
        <v>202</v>
      </c>
      <c r="G42">
        <v>90</v>
      </c>
      <c r="H42" s="7">
        <v>46056</v>
      </c>
      <c r="I42" t="s">
        <v>207</v>
      </c>
    </row>
    <row r="43" spans="1:9">
      <c r="A43">
        <v>50042</v>
      </c>
      <c r="B43">
        <v>3004</v>
      </c>
      <c r="C43">
        <v>2014</v>
      </c>
      <c r="D43" s="7">
        <v>46044</v>
      </c>
      <c r="E43" t="s">
        <v>219</v>
      </c>
      <c r="F43" t="s">
        <v>202</v>
      </c>
      <c r="G43">
        <v>90</v>
      </c>
      <c r="H43" s="7">
        <v>46058</v>
      </c>
      <c r="I43" t="s">
        <v>207</v>
      </c>
    </row>
    <row r="44" spans="1:9">
      <c r="A44">
        <v>50043</v>
      </c>
      <c r="B44">
        <v>3004</v>
      </c>
      <c r="C44">
        <v>2014</v>
      </c>
      <c r="D44" s="7">
        <v>46045</v>
      </c>
      <c r="E44" t="s">
        <v>219</v>
      </c>
      <c r="F44" t="s">
        <v>214</v>
      </c>
      <c r="H44" s="7">
        <v>46052</v>
      </c>
      <c r="I44" t="s">
        <v>207</v>
      </c>
    </row>
    <row r="45" spans="1:9">
      <c r="A45">
        <v>50044</v>
      </c>
      <c r="B45">
        <v>3004</v>
      </c>
      <c r="C45">
        <v>2014</v>
      </c>
      <c r="D45" s="7">
        <v>46053</v>
      </c>
      <c r="E45" t="s">
        <v>201</v>
      </c>
      <c r="F45" t="s">
        <v>202</v>
      </c>
      <c r="G45">
        <v>15</v>
      </c>
      <c r="H45" s="7">
        <v>46083</v>
      </c>
      <c r="I45" t="s">
        <v>211</v>
      </c>
    </row>
    <row r="46" spans="1:9">
      <c r="A46">
        <v>50045</v>
      </c>
      <c r="B46">
        <v>3004</v>
      </c>
      <c r="C46">
        <v>2014</v>
      </c>
      <c r="D46" s="7">
        <v>46063</v>
      </c>
      <c r="E46" t="s">
        <v>212</v>
      </c>
      <c r="F46" t="s">
        <v>205</v>
      </c>
      <c r="H46" s="7"/>
      <c r="I46" t="s">
        <v>207</v>
      </c>
    </row>
    <row r="47" spans="1:9">
      <c r="A47">
        <v>50046</v>
      </c>
      <c r="B47">
        <v>3004</v>
      </c>
      <c r="C47">
        <v>2014</v>
      </c>
      <c r="D47" s="7">
        <v>46063</v>
      </c>
      <c r="E47" t="s">
        <v>210</v>
      </c>
      <c r="F47" t="s">
        <v>218</v>
      </c>
      <c r="H47" s="7"/>
      <c r="I47" t="s">
        <v>211</v>
      </c>
    </row>
    <row r="48" spans="1:9">
      <c r="A48">
        <v>50047</v>
      </c>
      <c r="B48">
        <v>3004</v>
      </c>
      <c r="C48">
        <v>2014</v>
      </c>
      <c r="D48" s="7">
        <v>46064</v>
      </c>
      <c r="E48" t="s">
        <v>212</v>
      </c>
      <c r="F48" t="s">
        <v>214</v>
      </c>
      <c r="H48" s="7">
        <v>46078</v>
      </c>
      <c r="I48" t="s">
        <v>216</v>
      </c>
    </row>
    <row r="49" spans="1:9">
      <c r="A49">
        <v>50048</v>
      </c>
      <c r="B49">
        <v>3004</v>
      </c>
      <c r="C49">
        <v>2014</v>
      </c>
      <c r="D49" s="7">
        <v>46072</v>
      </c>
      <c r="E49" t="s">
        <v>204</v>
      </c>
      <c r="F49" t="s">
        <v>202</v>
      </c>
      <c r="G49">
        <v>15</v>
      </c>
      <c r="H49" s="7">
        <v>46093</v>
      </c>
      <c r="I49" t="s">
        <v>211</v>
      </c>
    </row>
    <row r="50" spans="1:9">
      <c r="A50">
        <v>50049</v>
      </c>
      <c r="B50">
        <v>3004</v>
      </c>
      <c r="C50">
        <v>2014</v>
      </c>
      <c r="D50" s="7">
        <v>46073</v>
      </c>
      <c r="E50" t="s">
        <v>212</v>
      </c>
      <c r="F50" t="s">
        <v>213</v>
      </c>
      <c r="H50" s="7">
        <v>46094</v>
      </c>
      <c r="I50" t="s">
        <v>217</v>
      </c>
    </row>
    <row r="51" spans="1:9">
      <c r="A51">
        <v>50050</v>
      </c>
      <c r="B51">
        <v>3004</v>
      </c>
      <c r="C51">
        <v>2014</v>
      </c>
      <c r="D51" s="7">
        <v>46073</v>
      </c>
      <c r="E51" t="s">
        <v>212</v>
      </c>
      <c r="F51" t="s">
        <v>202</v>
      </c>
      <c r="G51">
        <v>45</v>
      </c>
      <c r="H51" s="7">
        <v>46076</v>
      </c>
      <c r="I51" t="s">
        <v>217</v>
      </c>
    </row>
    <row r="52" spans="1:9">
      <c r="A52">
        <v>50051</v>
      </c>
      <c r="B52">
        <v>3004</v>
      </c>
      <c r="C52">
        <v>2014</v>
      </c>
      <c r="D52" s="7">
        <v>46075</v>
      </c>
      <c r="E52" t="s">
        <v>204</v>
      </c>
      <c r="F52" t="s">
        <v>202</v>
      </c>
      <c r="G52">
        <v>30</v>
      </c>
      <c r="H52" s="7">
        <v>46089</v>
      </c>
      <c r="I52" t="s">
        <v>209</v>
      </c>
    </row>
    <row r="53" spans="1:9">
      <c r="A53">
        <v>50052</v>
      </c>
      <c r="B53">
        <v>3005</v>
      </c>
      <c r="C53">
        <v>2007</v>
      </c>
      <c r="D53" s="7">
        <v>45673</v>
      </c>
      <c r="E53" t="s">
        <v>212</v>
      </c>
      <c r="F53" t="s">
        <v>202</v>
      </c>
      <c r="G53">
        <v>30</v>
      </c>
      <c r="H53" s="7">
        <v>45680</v>
      </c>
      <c r="I53" t="s">
        <v>211</v>
      </c>
    </row>
    <row r="54" spans="1:9">
      <c r="A54">
        <v>50053</v>
      </c>
      <c r="B54">
        <v>3005</v>
      </c>
      <c r="C54">
        <v>2007</v>
      </c>
      <c r="D54" s="7">
        <v>45725</v>
      </c>
      <c r="E54" t="s">
        <v>219</v>
      </c>
      <c r="F54" t="s">
        <v>205</v>
      </c>
      <c r="H54" s="7"/>
      <c r="I54" t="s">
        <v>203</v>
      </c>
    </row>
    <row r="55" spans="1:9">
      <c r="A55">
        <v>50054</v>
      </c>
      <c r="B55">
        <v>3005</v>
      </c>
      <c r="C55">
        <v>2007</v>
      </c>
      <c r="D55" s="7">
        <v>45755</v>
      </c>
      <c r="E55" t="s">
        <v>201</v>
      </c>
      <c r="F55" t="s">
        <v>202</v>
      </c>
      <c r="G55">
        <v>60</v>
      </c>
      <c r="H55" s="7">
        <v>45762</v>
      </c>
      <c r="I55" t="s">
        <v>209</v>
      </c>
    </row>
    <row r="56" spans="1:9">
      <c r="A56">
        <v>50055</v>
      </c>
      <c r="B56">
        <v>3005</v>
      </c>
      <c r="C56">
        <v>2007</v>
      </c>
      <c r="D56" s="7">
        <v>45757</v>
      </c>
      <c r="E56" t="s">
        <v>210</v>
      </c>
      <c r="F56" t="s">
        <v>214</v>
      </c>
      <c r="H56" s="7">
        <v>45787</v>
      </c>
      <c r="I56" t="s">
        <v>209</v>
      </c>
    </row>
    <row r="57" spans="1:9">
      <c r="A57">
        <v>50056</v>
      </c>
      <c r="B57">
        <v>3005</v>
      </c>
      <c r="C57">
        <v>2007</v>
      </c>
      <c r="D57" s="7">
        <v>45799</v>
      </c>
      <c r="E57" t="s">
        <v>212</v>
      </c>
      <c r="F57" t="s">
        <v>214</v>
      </c>
      <c r="H57" s="7">
        <v>45829</v>
      </c>
      <c r="I57" t="s">
        <v>203</v>
      </c>
    </row>
    <row r="58" spans="1:9">
      <c r="A58">
        <v>50057</v>
      </c>
      <c r="B58">
        <v>3005</v>
      </c>
      <c r="C58">
        <v>2007</v>
      </c>
      <c r="D58" s="7">
        <v>45876</v>
      </c>
      <c r="E58" t="s">
        <v>212</v>
      </c>
      <c r="F58" t="s">
        <v>202</v>
      </c>
      <c r="G58">
        <v>15</v>
      </c>
      <c r="H58" s="7">
        <v>45879</v>
      </c>
      <c r="I58" t="s">
        <v>207</v>
      </c>
    </row>
    <row r="59" spans="1:9">
      <c r="A59">
        <v>50058</v>
      </c>
      <c r="B59">
        <v>3005</v>
      </c>
      <c r="C59">
        <v>2007</v>
      </c>
      <c r="D59" s="7">
        <v>45900</v>
      </c>
      <c r="E59" t="s">
        <v>208</v>
      </c>
      <c r="F59" t="s">
        <v>202</v>
      </c>
      <c r="G59">
        <v>90</v>
      </c>
      <c r="H59" s="7">
        <v>45914</v>
      </c>
      <c r="I59" t="s">
        <v>203</v>
      </c>
    </row>
    <row r="60" spans="1:9">
      <c r="A60">
        <v>50059</v>
      </c>
      <c r="B60">
        <v>3005</v>
      </c>
      <c r="C60">
        <v>2007</v>
      </c>
      <c r="D60" s="7">
        <v>45952</v>
      </c>
      <c r="E60" t="s">
        <v>212</v>
      </c>
      <c r="F60" t="s">
        <v>202</v>
      </c>
      <c r="G60">
        <v>30</v>
      </c>
      <c r="H60" s="7">
        <v>45982</v>
      </c>
      <c r="I60" t="s">
        <v>209</v>
      </c>
    </row>
    <row r="61" spans="1:9">
      <c r="A61">
        <v>50060</v>
      </c>
      <c r="B61">
        <v>3005</v>
      </c>
      <c r="C61">
        <v>2007</v>
      </c>
      <c r="D61" s="7">
        <v>45968</v>
      </c>
      <c r="E61" t="s">
        <v>204</v>
      </c>
      <c r="F61" t="s">
        <v>202</v>
      </c>
      <c r="G61">
        <v>30</v>
      </c>
      <c r="H61" s="7">
        <v>45989</v>
      </c>
      <c r="I61" t="s">
        <v>209</v>
      </c>
    </row>
    <row r="62" spans="1:9">
      <c r="A62">
        <v>50061</v>
      </c>
      <c r="B62">
        <v>3005</v>
      </c>
      <c r="C62">
        <v>2007</v>
      </c>
      <c r="D62" s="7">
        <v>45997</v>
      </c>
      <c r="E62" t="s">
        <v>204</v>
      </c>
      <c r="F62" t="s">
        <v>202</v>
      </c>
      <c r="G62">
        <v>30</v>
      </c>
      <c r="H62" s="7">
        <v>46000</v>
      </c>
      <c r="I62" t="s">
        <v>206</v>
      </c>
    </row>
    <row r="63" spans="1:9">
      <c r="A63">
        <v>50062</v>
      </c>
      <c r="B63">
        <v>3005</v>
      </c>
      <c r="C63">
        <v>2007</v>
      </c>
      <c r="D63" s="7">
        <v>46078</v>
      </c>
      <c r="E63" t="s">
        <v>219</v>
      </c>
      <c r="F63" t="s">
        <v>202</v>
      </c>
      <c r="G63">
        <v>20</v>
      </c>
      <c r="H63" s="7">
        <v>46085</v>
      </c>
      <c r="I63" t="s">
        <v>211</v>
      </c>
    </row>
    <row r="64" spans="1:9">
      <c r="A64">
        <v>50063</v>
      </c>
      <c r="B64">
        <v>3005</v>
      </c>
      <c r="C64">
        <v>2007</v>
      </c>
      <c r="D64" s="7">
        <v>46084</v>
      </c>
      <c r="E64" t="s">
        <v>201</v>
      </c>
      <c r="F64" t="s">
        <v>202</v>
      </c>
      <c r="G64">
        <v>10</v>
      </c>
      <c r="H64" s="7">
        <v>46091</v>
      </c>
      <c r="I64" t="s">
        <v>206</v>
      </c>
    </row>
    <row r="65" spans="1:9">
      <c r="A65">
        <v>50064</v>
      </c>
      <c r="B65">
        <v>3005</v>
      </c>
      <c r="C65">
        <v>2007</v>
      </c>
      <c r="D65" s="7">
        <v>46122</v>
      </c>
      <c r="E65" t="s">
        <v>219</v>
      </c>
      <c r="F65" t="s">
        <v>202</v>
      </c>
      <c r="G65">
        <v>45</v>
      </c>
      <c r="H65" s="7">
        <v>46152</v>
      </c>
      <c r="I65" t="s">
        <v>216</v>
      </c>
    </row>
    <row r="66" spans="1:9">
      <c r="A66">
        <v>50065</v>
      </c>
      <c r="B66">
        <v>3005</v>
      </c>
      <c r="C66">
        <v>2007</v>
      </c>
      <c r="D66" s="7">
        <v>46132</v>
      </c>
      <c r="E66" t="s">
        <v>201</v>
      </c>
      <c r="F66" t="s">
        <v>214</v>
      </c>
      <c r="H66" s="7">
        <v>46139</v>
      </c>
      <c r="I66" t="s">
        <v>217</v>
      </c>
    </row>
    <row r="67" spans="1:9">
      <c r="A67">
        <v>50066</v>
      </c>
      <c r="B67">
        <v>3005</v>
      </c>
      <c r="C67">
        <v>2007</v>
      </c>
      <c r="D67" s="7">
        <v>46155</v>
      </c>
      <c r="E67" t="s">
        <v>212</v>
      </c>
      <c r="F67" t="s">
        <v>215</v>
      </c>
      <c r="G67">
        <v>20</v>
      </c>
      <c r="H67" s="7">
        <v>46162</v>
      </c>
      <c r="I67" t="s">
        <v>211</v>
      </c>
    </row>
    <row r="68" spans="1:9">
      <c r="A68">
        <v>50067</v>
      </c>
      <c r="B68">
        <v>3005</v>
      </c>
      <c r="C68">
        <v>2007</v>
      </c>
      <c r="D68" s="7">
        <v>46160</v>
      </c>
      <c r="E68" t="s">
        <v>210</v>
      </c>
      <c r="F68" t="s">
        <v>215</v>
      </c>
      <c r="G68">
        <v>90</v>
      </c>
      <c r="H68" s="7">
        <v>46167</v>
      </c>
      <c r="I68" t="s">
        <v>203</v>
      </c>
    </row>
    <row r="69" spans="1:9">
      <c r="A69">
        <v>50068</v>
      </c>
      <c r="B69">
        <v>3005</v>
      </c>
      <c r="C69">
        <v>2007</v>
      </c>
      <c r="D69" s="7">
        <v>46174</v>
      </c>
      <c r="E69" t="s">
        <v>204</v>
      </c>
      <c r="F69" t="s">
        <v>215</v>
      </c>
      <c r="G69">
        <v>20</v>
      </c>
      <c r="H69" s="7">
        <v>46195</v>
      </c>
      <c r="I69" t="s">
        <v>206</v>
      </c>
    </row>
    <row r="70" spans="1:9">
      <c r="A70">
        <v>50069</v>
      </c>
      <c r="B70">
        <v>3005</v>
      </c>
      <c r="C70">
        <v>2007</v>
      </c>
      <c r="D70" s="7">
        <v>46175</v>
      </c>
      <c r="E70" t="s">
        <v>219</v>
      </c>
      <c r="F70" t="s">
        <v>202</v>
      </c>
      <c r="G70">
        <v>45</v>
      </c>
      <c r="H70" s="7">
        <v>46196</v>
      </c>
      <c r="I70" t="s">
        <v>211</v>
      </c>
    </row>
    <row r="71" spans="1:9">
      <c r="A71">
        <v>50070</v>
      </c>
      <c r="B71">
        <v>3005</v>
      </c>
      <c r="C71">
        <v>2007</v>
      </c>
      <c r="D71" s="7">
        <v>46203</v>
      </c>
      <c r="E71" t="s">
        <v>204</v>
      </c>
      <c r="F71" t="s">
        <v>202</v>
      </c>
      <c r="G71">
        <v>10</v>
      </c>
      <c r="H71" s="7">
        <v>46210</v>
      </c>
      <c r="I71" t="s">
        <v>209</v>
      </c>
    </row>
    <row r="72" spans="1:9">
      <c r="A72">
        <v>50071</v>
      </c>
      <c r="B72">
        <v>3006</v>
      </c>
      <c r="C72">
        <v>2018</v>
      </c>
      <c r="D72" s="7">
        <v>45282</v>
      </c>
      <c r="E72" t="s">
        <v>219</v>
      </c>
      <c r="F72" t="s">
        <v>202</v>
      </c>
      <c r="G72">
        <v>30</v>
      </c>
      <c r="H72" s="7">
        <v>45289</v>
      </c>
      <c r="I72" t="s">
        <v>211</v>
      </c>
    </row>
    <row r="73" spans="1:9">
      <c r="A73">
        <v>50072</v>
      </c>
      <c r="B73">
        <v>3006</v>
      </c>
      <c r="C73">
        <v>2018</v>
      </c>
      <c r="D73" s="7">
        <v>45326</v>
      </c>
      <c r="E73" t="s">
        <v>204</v>
      </c>
      <c r="F73" t="s">
        <v>202</v>
      </c>
      <c r="G73">
        <v>15</v>
      </c>
      <c r="H73" s="7">
        <v>45333</v>
      </c>
      <c r="I73" t="s">
        <v>203</v>
      </c>
    </row>
    <row r="74" spans="1:9">
      <c r="A74">
        <v>50073</v>
      </c>
      <c r="B74">
        <v>3006</v>
      </c>
      <c r="C74">
        <v>2018</v>
      </c>
      <c r="D74" s="7">
        <v>45357</v>
      </c>
      <c r="E74" t="s">
        <v>219</v>
      </c>
      <c r="F74" t="s">
        <v>202</v>
      </c>
      <c r="G74">
        <v>10</v>
      </c>
      <c r="H74" s="7">
        <v>45378</v>
      </c>
      <c r="I74" t="s">
        <v>207</v>
      </c>
    </row>
    <row r="75" spans="1:9">
      <c r="A75">
        <v>50074</v>
      </c>
      <c r="B75">
        <v>3006</v>
      </c>
      <c r="C75">
        <v>2018</v>
      </c>
      <c r="D75" s="7">
        <v>45368</v>
      </c>
      <c r="E75" t="s">
        <v>219</v>
      </c>
      <c r="F75" t="s">
        <v>205</v>
      </c>
      <c r="H75" s="7"/>
      <c r="I75" t="s">
        <v>209</v>
      </c>
    </row>
    <row r="76" spans="1:9">
      <c r="A76">
        <v>50075</v>
      </c>
      <c r="B76">
        <v>3006</v>
      </c>
      <c r="C76">
        <v>2018</v>
      </c>
      <c r="D76" s="7">
        <v>45410</v>
      </c>
      <c r="E76" t="s">
        <v>212</v>
      </c>
      <c r="F76" t="s">
        <v>202</v>
      </c>
      <c r="G76">
        <v>15</v>
      </c>
      <c r="H76" s="7">
        <v>45440</v>
      </c>
      <c r="I76" t="s">
        <v>207</v>
      </c>
    </row>
    <row r="77" spans="1:9">
      <c r="A77">
        <v>50076</v>
      </c>
      <c r="B77">
        <v>3006</v>
      </c>
      <c r="C77">
        <v>2018</v>
      </c>
      <c r="D77" s="7">
        <v>45469</v>
      </c>
      <c r="E77" t="s">
        <v>219</v>
      </c>
      <c r="F77" t="s">
        <v>214</v>
      </c>
      <c r="H77" s="7">
        <v>45499</v>
      </c>
      <c r="I77" t="s">
        <v>211</v>
      </c>
    </row>
    <row r="78" spans="1:9">
      <c r="A78">
        <v>50077</v>
      </c>
      <c r="B78">
        <v>3006</v>
      </c>
      <c r="C78">
        <v>2018</v>
      </c>
      <c r="D78" s="7">
        <v>45482</v>
      </c>
      <c r="E78" t="s">
        <v>212</v>
      </c>
      <c r="F78" t="s">
        <v>205</v>
      </c>
      <c r="H78" s="7"/>
      <c r="I78" t="s">
        <v>216</v>
      </c>
    </row>
    <row r="79" spans="1:9">
      <c r="A79">
        <v>50078</v>
      </c>
      <c r="B79">
        <v>3006</v>
      </c>
      <c r="C79">
        <v>2018</v>
      </c>
      <c r="D79" s="7">
        <v>45608</v>
      </c>
      <c r="E79" t="s">
        <v>208</v>
      </c>
      <c r="F79" t="s">
        <v>202</v>
      </c>
      <c r="G79">
        <v>30</v>
      </c>
      <c r="H79" s="7">
        <v>45638</v>
      </c>
      <c r="I79" t="s">
        <v>207</v>
      </c>
    </row>
    <row r="80" spans="1:9">
      <c r="A80">
        <v>50079</v>
      </c>
      <c r="B80">
        <v>3006</v>
      </c>
      <c r="C80">
        <v>2018</v>
      </c>
      <c r="D80" s="7">
        <v>45708</v>
      </c>
      <c r="E80" t="s">
        <v>204</v>
      </c>
      <c r="F80" t="s">
        <v>205</v>
      </c>
      <c r="H80" s="7"/>
      <c r="I80" t="s">
        <v>209</v>
      </c>
    </row>
    <row r="81" spans="1:9">
      <c r="A81">
        <v>50080</v>
      </c>
      <c r="B81">
        <v>3006</v>
      </c>
      <c r="C81">
        <v>2018</v>
      </c>
      <c r="D81" s="7">
        <v>45803</v>
      </c>
      <c r="E81" t="s">
        <v>201</v>
      </c>
      <c r="F81" t="s">
        <v>213</v>
      </c>
      <c r="H81" s="7">
        <v>45817</v>
      </c>
      <c r="I81" t="s">
        <v>206</v>
      </c>
    </row>
    <row r="82" spans="1:9">
      <c r="A82">
        <v>50081</v>
      </c>
      <c r="B82">
        <v>3006</v>
      </c>
      <c r="C82">
        <v>2018</v>
      </c>
      <c r="D82" s="7">
        <v>45891</v>
      </c>
      <c r="E82" t="s">
        <v>210</v>
      </c>
      <c r="F82" t="s">
        <v>214</v>
      </c>
      <c r="H82" s="7">
        <v>45894</v>
      </c>
      <c r="I82" t="s">
        <v>209</v>
      </c>
    </row>
    <row r="83" spans="1:9">
      <c r="A83">
        <v>50082</v>
      </c>
      <c r="B83">
        <v>3006</v>
      </c>
      <c r="C83">
        <v>2018</v>
      </c>
      <c r="D83" s="7">
        <v>45961</v>
      </c>
      <c r="E83" t="s">
        <v>201</v>
      </c>
      <c r="F83" t="s">
        <v>215</v>
      </c>
      <c r="G83">
        <v>20</v>
      </c>
      <c r="H83" s="7">
        <v>45975</v>
      </c>
      <c r="I83" t="s">
        <v>207</v>
      </c>
    </row>
    <row r="84" spans="1:9">
      <c r="A84">
        <v>50083</v>
      </c>
      <c r="B84">
        <v>3006</v>
      </c>
      <c r="C84">
        <v>2018</v>
      </c>
      <c r="D84" s="7">
        <v>46030</v>
      </c>
      <c r="E84" t="s">
        <v>219</v>
      </c>
      <c r="F84" t="s">
        <v>202</v>
      </c>
      <c r="G84">
        <v>10</v>
      </c>
      <c r="H84" s="7">
        <v>46044</v>
      </c>
      <c r="I84" t="s">
        <v>203</v>
      </c>
    </row>
    <row r="85" spans="1:9">
      <c r="A85">
        <v>50084</v>
      </c>
      <c r="B85">
        <v>3006</v>
      </c>
      <c r="C85">
        <v>2018</v>
      </c>
      <c r="D85" s="7">
        <v>46161</v>
      </c>
      <c r="E85" t="s">
        <v>201</v>
      </c>
      <c r="F85" t="s">
        <v>213</v>
      </c>
      <c r="H85" s="7">
        <v>46191</v>
      </c>
      <c r="I85" t="s">
        <v>206</v>
      </c>
    </row>
    <row r="86" spans="1:9">
      <c r="A86">
        <v>50085</v>
      </c>
      <c r="B86">
        <v>3006</v>
      </c>
      <c r="C86">
        <v>2018</v>
      </c>
      <c r="D86" s="7">
        <v>46172</v>
      </c>
      <c r="E86" t="s">
        <v>212</v>
      </c>
      <c r="F86" t="s">
        <v>213</v>
      </c>
      <c r="H86" s="7">
        <v>46186</v>
      </c>
      <c r="I86" t="s">
        <v>211</v>
      </c>
    </row>
    <row r="87" spans="1:9">
      <c r="A87">
        <v>50086</v>
      </c>
      <c r="B87">
        <v>3006</v>
      </c>
      <c r="C87">
        <v>2018</v>
      </c>
      <c r="D87" s="7">
        <v>46207</v>
      </c>
      <c r="E87" t="s">
        <v>212</v>
      </c>
      <c r="F87" t="s">
        <v>215</v>
      </c>
      <c r="G87">
        <v>60</v>
      </c>
      <c r="H87" s="7">
        <v>46214</v>
      </c>
      <c r="I87" t="s">
        <v>207</v>
      </c>
    </row>
    <row r="88" spans="1:9">
      <c r="A88">
        <v>50087</v>
      </c>
      <c r="B88">
        <v>3007</v>
      </c>
      <c r="C88">
        <v>2018</v>
      </c>
      <c r="D88" s="7">
        <v>45652</v>
      </c>
      <c r="E88" t="s">
        <v>204</v>
      </c>
      <c r="F88" t="s">
        <v>202</v>
      </c>
      <c r="G88">
        <v>30</v>
      </c>
      <c r="H88" s="7">
        <v>45659</v>
      </c>
      <c r="I88" t="s">
        <v>217</v>
      </c>
    </row>
    <row r="89" spans="1:9">
      <c r="A89">
        <v>50088</v>
      </c>
      <c r="B89">
        <v>3007</v>
      </c>
      <c r="C89">
        <v>2018</v>
      </c>
      <c r="D89" s="7">
        <v>45702</v>
      </c>
      <c r="E89" t="s">
        <v>212</v>
      </c>
      <c r="F89" t="s">
        <v>214</v>
      </c>
      <c r="H89" s="7">
        <v>45709</v>
      </c>
      <c r="I89" t="s">
        <v>217</v>
      </c>
    </row>
    <row r="90" spans="1:9">
      <c r="A90">
        <v>50089</v>
      </c>
      <c r="B90">
        <v>3007</v>
      </c>
      <c r="C90">
        <v>2018</v>
      </c>
      <c r="D90" s="7">
        <v>45789</v>
      </c>
      <c r="E90" t="s">
        <v>219</v>
      </c>
      <c r="F90" t="s">
        <v>213</v>
      </c>
      <c r="H90" s="7">
        <v>45796</v>
      </c>
      <c r="I90" t="s">
        <v>207</v>
      </c>
    </row>
    <row r="91" spans="1:9">
      <c r="A91">
        <v>50090</v>
      </c>
      <c r="B91">
        <v>3007</v>
      </c>
      <c r="C91">
        <v>2018</v>
      </c>
      <c r="D91" s="7">
        <v>45881</v>
      </c>
      <c r="E91" t="s">
        <v>204</v>
      </c>
      <c r="F91" t="s">
        <v>214</v>
      </c>
      <c r="H91" s="7">
        <v>45884</v>
      </c>
      <c r="I91" t="s">
        <v>207</v>
      </c>
    </row>
    <row r="92" spans="1:9">
      <c r="A92">
        <v>50091</v>
      </c>
      <c r="B92">
        <v>3007</v>
      </c>
      <c r="C92">
        <v>2018</v>
      </c>
      <c r="D92" s="7">
        <v>46021</v>
      </c>
      <c r="E92" t="s">
        <v>204</v>
      </c>
      <c r="F92" t="s">
        <v>214</v>
      </c>
      <c r="H92" s="7">
        <v>46042</v>
      </c>
      <c r="I92" t="s">
        <v>207</v>
      </c>
    </row>
    <row r="93" spans="1:9">
      <c r="A93">
        <v>50092</v>
      </c>
      <c r="B93">
        <v>3007</v>
      </c>
      <c r="C93">
        <v>2018</v>
      </c>
      <c r="D93" s="7">
        <v>46065</v>
      </c>
      <c r="E93" t="s">
        <v>201</v>
      </c>
      <c r="F93" t="s">
        <v>202</v>
      </c>
      <c r="G93">
        <v>10</v>
      </c>
      <c r="H93" s="7">
        <v>46072</v>
      </c>
      <c r="I93" t="s">
        <v>217</v>
      </c>
    </row>
    <row r="94" spans="1:9">
      <c r="A94">
        <v>50093</v>
      </c>
      <c r="B94">
        <v>3007</v>
      </c>
      <c r="C94">
        <v>2018</v>
      </c>
      <c r="D94" s="7">
        <v>46072</v>
      </c>
      <c r="E94" t="s">
        <v>201</v>
      </c>
      <c r="F94" t="s">
        <v>202</v>
      </c>
      <c r="G94">
        <v>15</v>
      </c>
      <c r="H94" s="7">
        <v>46102</v>
      </c>
      <c r="I94" t="s">
        <v>209</v>
      </c>
    </row>
    <row r="95" spans="1:9">
      <c r="A95">
        <v>50094</v>
      </c>
      <c r="B95">
        <v>3007</v>
      </c>
      <c r="C95">
        <v>2018</v>
      </c>
      <c r="D95" s="7">
        <v>46169</v>
      </c>
      <c r="E95" t="s">
        <v>204</v>
      </c>
      <c r="F95" t="s">
        <v>215</v>
      </c>
      <c r="G95">
        <v>20</v>
      </c>
      <c r="H95" s="7">
        <v>46176</v>
      </c>
      <c r="I95" t="s">
        <v>211</v>
      </c>
    </row>
    <row r="96" spans="1:9">
      <c r="A96">
        <v>50095</v>
      </c>
      <c r="B96">
        <v>3007</v>
      </c>
      <c r="C96">
        <v>2018</v>
      </c>
      <c r="D96" s="7">
        <v>46194</v>
      </c>
      <c r="E96" t="s">
        <v>210</v>
      </c>
      <c r="F96" t="s">
        <v>215</v>
      </c>
      <c r="G96">
        <v>30</v>
      </c>
      <c r="H96" s="7"/>
      <c r="I96" t="s">
        <v>207</v>
      </c>
    </row>
    <row r="97" spans="1:9">
      <c r="A97">
        <v>50096</v>
      </c>
      <c r="B97">
        <v>3008</v>
      </c>
      <c r="C97">
        <v>2002</v>
      </c>
      <c r="D97" s="7">
        <v>45910</v>
      </c>
      <c r="E97" t="s">
        <v>212</v>
      </c>
      <c r="F97" t="s">
        <v>202</v>
      </c>
      <c r="G97">
        <v>60</v>
      </c>
      <c r="H97" s="7">
        <v>45924</v>
      </c>
      <c r="I97" t="s">
        <v>217</v>
      </c>
    </row>
    <row r="98" spans="1:9">
      <c r="A98">
        <v>50097</v>
      </c>
      <c r="B98">
        <v>3008</v>
      </c>
      <c r="C98">
        <v>2002</v>
      </c>
      <c r="D98" s="7">
        <v>45917</v>
      </c>
      <c r="E98" t="s">
        <v>212</v>
      </c>
      <c r="F98" t="s">
        <v>213</v>
      </c>
      <c r="H98" s="7">
        <v>45924</v>
      </c>
      <c r="I98" t="s">
        <v>216</v>
      </c>
    </row>
    <row r="99" spans="1:9">
      <c r="A99">
        <v>50098</v>
      </c>
      <c r="B99">
        <v>3008</v>
      </c>
      <c r="C99">
        <v>2002</v>
      </c>
      <c r="D99" s="7">
        <v>45920</v>
      </c>
      <c r="E99" t="s">
        <v>219</v>
      </c>
      <c r="F99" t="s">
        <v>202</v>
      </c>
      <c r="G99">
        <v>20</v>
      </c>
      <c r="H99" s="7">
        <v>45927</v>
      </c>
      <c r="I99" t="s">
        <v>203</v>
      </c>
    </row>
    <row r="100" spans="1:9">
      <c r="A100">
        <v>50099</v>
      </c>
      <c r="B100">
        <v>3008</v>
      </c>
      <c r="C100">
        <v>2002</v>
      </c>
      <c r="D100" s="7">
        <v>45924</v>
      </c>
      <c r="E100" t="s">
        <v>219</v>
      </c>
      <c r="F100" t="s">
        <v>205</v>
      </c>
      <c r="H100" s="7"/>
      <c r="I100" t="s">
        <v>207</v>
      </c>
    </row>
    <row r="101" spans="1:9">
      <c r="A101">
        <v>50100</v>
      </c>
      <c r="B101">
        <v>3008</v>
      </c>
      <c r="C101">
        <v>2002</v>
      </c>
      <c r="D101" s="7">
        <v>45930</v>
      </c>
      <c r="E101" t="s">
        <v>212</v>
      </c>
      <c r="F101" t="s">
        <v>202</v>
      </c>
      <c r="G101">
        <v>10</v>
      </c>
      <c r="H101" s="7">
        <v>45944</v>
      </c>
      <c r="I101" t="s">
        <v>216</v>
      </c>
    </row>
    <row r="102" spans="1:9">
      <c r="A102">
        <v>50101</v>
      </c>
      <c r="B102">
        <v>3008</v>
      </c>
      <c r="C102">
        <v>2002</v>
      </c>
      <c r="D102" s="7">
        <v>45936</v>
      </c>
      <c r="E102" t="s">
        <v>219</v>
      </c>
      <c r="F102" t="s">
        <v>202</v>
      </c>
      <c r="G102">
        <v>60</v>
      </c>
      <c r="H102" s="7">
        <v>45957</v>
      </c>
      <c r="I102" t="s">
        <v>211</v>
      </c>
    </row>
    <row r="103" spans="1:9">
      <c r="A103">
        <v>50102</v>
      </c>
      <c r="B103">
        <v>3008</v>
      </c>
      <c r="C103">
        <v>2002</v>
      </c>
      <c r="D103" s="7">
        <v>45945</v>
      </c>
      <c r="E103" t="s">
        <v>201</v>
      </c>
      <c r="F103" t="s">
        <v>202</v>
      </c>
      <c r="G103">
        <v>15</v>
      </c>
      <c r="H103" s="7">
        <v>45952</v>
      </c>
      <c r="I103" t="s">
        <v>216</v>
      </c>
    </row>
    <row r="104" spans="1:9">
      <c r="A104">
        <v>50103</v>
      </c>
      <c r="B104">
        <v>3008</v>
      </c>
      <c r="C104">
        <v>2002</v>
      </c>
      <c r="D104" s="7">
        <v>45951</v>
      </c>
      <c r="E104" t="s">
        <v>201</v>
      </c>
      <c r="F104" t="s">
        <v>213</v>
      </c>
      <c r="H104" s="7">
        <v>45981</v>
      </c>
      <c r="I104" t="s">
        <v>216</v>
      </c>
    </row>
    <row r="105" spans="1:9">
      <c r="A105">
        <v>50104</v>
      </c>
      <c r="B105">
        <v>3009</v>
      </c>
      <c r="C105">
        <v>2018</v>
      </c>
      <c r="D105" s="7">
        <v>45481</v>
      </c>
      <c r="E105" t="s">
        <v>210</v>
      </c>
      <c r="F105" t="s">
        <v>218</v>
      </c>
      <c r="H105" s="7"/>
      <c r="I105" t="s">
        <v>209</v>
      </c>
    </row>
    <row r="106" spans="1:9">
      <c r="A106">
        <v>50105</v>
      </c>
      <c r="B106">
        <v>3009</v>
      </c>
      <c r="C106">
        <v>2018</v>
      </c>
      <c r="D106" s="7">
        <v>45759</v>
      </c>
      <c r="E106" t="s">
        <v>204</v>
      </c>
      <c r="F106" t="s">
        <v>218</v>
      </c>
      <c r="H106" s="7"/>
      <c r="I106" t="s">
        <v>206</v>
      </c>
    </row>
    <row r="107" spans="1:9">
      <c r="A107">
        <v>50106</v>
      </c>
      <c r="B107">
        <v>3009</v>
      </c>
      <c r="C107">
        <v>2018</v>
      </c>
      <c r="D107" s="7">
        <v>45909</v>
      </c>
      <c r="E107" t="s">
        <v>201</v>
      </c>
      <c r="F107" t="s">
        <v>214</v>
      </c>
      <c r="H107" s="7">
        <v>45912</v>
      </c>
      <c r="I107" t="s">
        <v>211</v>
      </c>
    </row>
    <row r="108" spans="1:9">
      <c r="A108">
        <v>50107</v>
      </c>
      <c r="B108">
        <v>3009</v>
      </c>
      <c r="C108">
        <v>2018</v>
      </c>
      <c r="D108" s="7">
        <v>46062</v>
      </c>
      <c r="E108" t="s">
        <v>201</v>
      </c>
      <c r="F108" t="s">
        <v>202</v>
      </c>
      <c r="G108">
        <v>15</v>
      </c>
      <c r="H108" s="7">
        <v>46076</v>
      </c>
      <c r="I108" t="s">
        <v>217</v>
      </c>
    </row>
    <row r="109" spans="1:9">
      <c r="A109">
        <v>50108</v>
      </c>
      <c r="B109">
        <v>3009</v>
      </c>
      <c r="C109">
        <v>2018</v>
      </c>
      <c r="D109" s="7">
        <v>46062</v>
      </c>
      <c r="E109" t="s">
        <v>204</v>
      </c>
      <c r="F109" t="s">
        <v>215</v>
      </c>
      <c r="G109">
        <v>90</v>
      </c>
      <c r="H109" s="7">
        <v>46083</v>
      </c>
      <c r="I109" t="s">
        <v>217</v>
      </c>
    </row>
    <row r="110" spans="1:9">
      <c r="A110">
        <v>50109</v>
      </c>
      <c r="B110">
        <v>3009</v>
      </c>
      <c r="C110">
        <v>2018</v>
      </c>
      <c r="D110" s="7">
        <v>46104</v>
      </c>
      <c r="E110" t="s">
        <v>212</v>
      </c>
      <c r="F110" t="s">
        <v>202</v>
      </c>
      <c r="G110">
        <v>15</v>
      </c>
      <c r="H110" s="7">
        <v>46118</v>
      </c>
      <c r="I110" t="s">
        <v>203</v>
      </c>
    </row>
    <row r="111" spans="1:9">
      <c r="A111">
        <v>50110</v>
      </c>
      <c r="B111">
        <v>3010</v>
      </c>
      <c r="C111">
        <v>2005</v>
      </c>
      <c r="D111" s="7">
        <v>45597</v>
      </c>
      <c r="E111" t="s">
        <v>210</v>
      </c>
      <c r="F111" t="s">
        <v>218</v>
      </c>
      <c r="H111" s="7"/>
      <c r="I111" t="s">
        <v>206</v>
      </c>
    </row>
    <row r="112" spans="1:9">
      <c r="A112">
        <v>50111</v>
      </c>
      <c r="B112">
        <v>3010</v>
      </c>
      <c r="C112">
        <v>2005</v>
      </c>
      <c r="D112" s="7">
        <v>45599</v>
      </c>
      <c r="E112" t="s">
        <v>212</v>
      </c>
      <c r="F112" t="s">
        <v>202</v>
      </c>
      <c r="G112">
        <v>10</v>
      </c>
      <c r="H112" s="7">
        <v>45606</v>
      </c>
      <c r="I112" t="s">
        <v>211</v>
      </c>
    </row>
    <row r="113" spans="1:9">
      <c r="A113">
        <v>50112</v>
      </c>
      <c r="B113">
        <v>3010</v>
      </c>
      <c r="C113">
        <v>2005</v>
      </c>
      <c r="D113" s="7">
        <v>45684</v>
      </c>
      <c r="E113" t="s">
        <v>210</v>
      </c>
      <c r="F113" t="s">
        <v>218</v>
      </c>
      <c r="H113" s="7"/>
      <c r="I113" t="s">
        <v>203</v>
      </c>
    </row>
    <row r="114" spans="1:9">
      <c r="A114">
        <v>50113</v>
      </c>
      <c r="B114">
        <v>3010</v>
      </c>
      <c r="C114">
        <v>2005</v>
      </c>
      <c r="D114" s="7">
        <v>45705</v>
      </c>
      <c r="E114" t="s">
        <v>212</v>
      </c>
      <c r="F114" t="s">
        <v>202</v>
      </c>
      <c r="G114">
        <v>45</v>
      </c>
      <c r="H114" s="7">
        <v>45708</v>
      </c>
      <c r="I114" t="s">
        <v>217</v>
      </c>
    </row>
    <row r="115" spans="1:9">
      <c r="A115">
        <v>50114</v>
      </c>
      <c r="B115">
        <v>3010</v>
      </c>
      <c r="C115">
        <v>2005</v>
      </c>
      <c r="D115" s="7">
        <v>45786</v>
      </c>
      <c r="E115" t="s">
        <v>219</v>
      </c>
      <c r="F115" t="s">
        <v>214</v>
      </c>
      <c r="H115" s="7">
        <v>45816</v>
      </c>
      <c r="I115" t="s">
        <v>207</v>
      </c>
    </row>
    <row r="116" spans="1:9">
      <c r="A116">
        <v>50115</v>
      </c>
      <c r="B116">
        <v>3010</v>
      </c>
      <c r="C116">
        <v>2005</v>
      </c>
      <c r="D116" s="7">
        <v>45816</v>
      </c>
      <c r="E116" t="s">
        <v>212</v>
      </c>
      <c r="F116" t="s">
        <v>202</v>
      </c>
      <c r="G116">
        <v>60</v>
      </c>
      <c r="H116" s="7">
        <v>45846</v>
      </c>
      <c r="I116" t="s">
        <v>206</v>
      </c>
    </row>
    <row r="117" spans="1:9">
      <c r="A117">
        <v>50116</v>
      </c>
      <c r="B117">
        <v>3010</v>
      </c>
      <c r="C117">
        <v>2005</v>
      </c>
      <c r="D117" s="7">
        <v>45906</v>
      </c>
      <c r="E117" t="s">
        <v>204</v>
      </c>
      <c r="F117" t="s">
        <v>213</v>
      </c>
      <c r="H117" s="7">
        <v>45909</v>
      </c>
      <c r="I117" t="s">
        <v>206</v>
      </c>
    </row>
    <row r="118" spans="1:9">
      <c r="A118">
        <v>50117</v>
      </c>
      <c r="B118">
        <v>3010</v>
      </c>
      <c r="C118">
        <v>2005</v>
      </c>
      <c r="D118" s="7">
        <v>45922</v>
      </c>
      <c r="E118" t="s">
        <v>212</v>
      </c>
      <c r="F118" t="s">
        <v>202</v>
      </c>
      <c r="G118">
        <v>15</v>
      </c>
      <c r="H118" s="7">
        <v>45929</v>
      </c>
      <c r="I118" t="s">
        <v>216</v>
      </c>
    </row>
    <row r="119" spans="1:9">
      <c r="A119">
        <v>50118</v>
      </c>
      <c r="B119">
        <v>3010</v>
      </c>
      <c r="C119">
        <v>2005</v>
      </c>
      <c r="D119" s="7">
        <v>46183</v>
      </c>
      <c r="E119" t="s">
        <v>210</v>
      </c>
      <c r="F119" t="s">
        <v>214</v>
      </c>
      <c r="H119" s="7">
        <v>46190</v>
      </c>
      <c r="I119" t="s">
        <v>209</v>
      </c>
    </row>
    <row r="120" spans="1:9">
      <c r="A120">
        <v>50119</v>
      </c>
      <c r="B120">
        <v>3011</v>
      </c>
      <c r="C120">
        <v>2002</v>
      </c>
      <c r="D120" s="7">
        <v>45671</v>
      </c>
      <c r="E120" t="s">
        <v>201</v>
      </c>
      <c r="F120" t="s">
        <v>213</v>
      </c>
      <c r="H120" s="7">
        <v>45692</v>
      </c>
      <c r="I120" t="s">
        <v>216</v>
      </c>
    </row>
    <row r="121" spans="1:9">
      <c r="A121">
        <v>50120</v>
      </c>
      <c r="B121">
        <v>3011</v>
      </c>
      <c r="C121">
        <v>2002</v>
      </c>
      <c r="D121" s="7">
        <v>45674</v>
      </c>
      <c r="E121" t="s">
        <v>212</v>
      </c>
      <c r="F121" t="s">
        <v>202</v>
      </c>
      <c r="G121">
        <v>60</v>
      </c>
      <c r="H121" s="7">
        <v>45688</v>
      </c>
      <c r="I121" t="s">
        <v>209</v>
      </c>
    </row>
    <row r="122" spans="1:9">
      <c r="A122">
        <v>50121</v>
      </c>
      <c r="B122">
        <v>3011</v>
      </c>
      <c r="C122">
        <v>2002</v>
      </c>
      <c r="D122" s="7">
        <v>45676</v>
      </c>
      <c r="E122" t="s">
        <v>219</v>
      </c>
      <c r="F122" t="s">
        <v>202</v>
      </c>
      <c r="G122">
        <v>60</v>
      </c>
      <c r="H122" s="7">
        <v>45706</v>
      </c>
      <c r="I122" t="s">
        <v>211</v>
      </c>
    </row>
    <row r="123" spans="1:9">
      <c r="A123">
        <v>50122</v>
      </c>
      <c r="B123">
        <v>3011</v>
      </c>
      <c r="C123">
        <v>2002</v>
      </c>
      <c r="D123" s="7">
        <v>45677</v>
      </c>
      <c r="E123" t="s">
        <v>219</v>
      </c>
      <c r="F123" t="s">
        <v>202</v>
      </c>
      <c r="G123">
        <v>90</v>
      </c>
      <c r="H123" s="7">
        <v>45684</v>
      </c>
      <c r="I123" t="s">
        <v>216</v>
      </c>
    </row>
    <row r="124" spans="1:9">
      <c r="A124">
        <v>50123</v>
      </c>
      <c r="B124">
        <v>3011</v>
      </c>
      <c r="C124">
        <v>2002</v>
      </c>
      <c r="D124" s="7">
        <v>45679</v>
      </c>
      <c r="E124" t="s">
        <v>219</v>
      </c>
      <c r="F124" t="s">
        <v>202</v>
      </c>
      <c r="G124">
        <v>20</v>
      </c>
      <c r="H124" s="7">
        <v>45686</v>
      </c>
      <c r="I124" t="s">
        <v>207</v>
      </c>
    </row>
    <row r="125" spans="1:9">
      <c r="A125">
        <v>50124</v>
      </c>
      <c r="B125">
        <v>3011</v>
      </c>
      <c r="C125">
        <v>2002</v>
      </c>
      <c r="D125" s="7">
        <v>45683</v>
      </c>
      <c r="E125" t="s">
        <v>210</v>
      </c>
      <c r="F125" t="s">
        <v>202</v>
      </c>
      <c r="G125">
        <v>60</v>
      </c>
      <c r="H125" s="7">
        <v>45690</v>
      </c>
      <c r="I125" t="s">
        <v>216</v>
      </c>
    </row>
    <row r="126" spans="1:9">
      <c r="A126">
        <v>50125</v>
      </c>
      <c r="B126">
        <v>3011</v>
      </c>
      <c r="C126">
        <v>2002</v>
      </c>
      <c r="D126" s="7">
        <v>45687</v>
      </c>
      <c r="E126" t="s">
        <v>212</v>
      </c>
      <c r="F126" t="s">
        <v>202</v>
      </c>
      <c r="G126">
        <v>15</v>
      </c>
      <c r="H126" s="7">
        <v>45708</v>
      </c>
      <c r="I126" t="s">
        <v>207</v>
      </c>
    </row>
    <row r="127" spans="1:9">
      <c r="A127">
        <v>50126</v>
      </c>
      <c r="B127">
        <v>3011</v>
      </c>
      <c r="C127">
        <v>2002</v>
      </c>
      <c r="D127" s="7">
        <v>45690</v>
      </c>
      <c r="E127" t="s">
        <v>204</v>
      </c>
      <c r="F127" t="s">
        <v>202</v>
      </c>
      <c r="G127">
        <v>30</v>
      </c>
      <c r="H127" s="7">
        <v>45711</v>
      </c>
      <c r="I127" t="s">
        <v>217</v>
      </c>
    </row>
    <row r="128" spans="1:9">
      <c r="A128">
        <v>50127</v>
      </c>
      <c r="B128">
        <v>3011</v>
      </c>
      <c r="C128">
        <v>2002</v>
      </c>
      <c r="D128" s="7">
        <v>45692</v>
      </c>
      <c r="E128" t="s">
        <v>212</v>
      </c>
      <c r="F128" t="s">
        <v>202</v>
      </c>
      <c r="G128">
        <v>90</v>
      </c>
      <c r="H128" s="7">
        <v>45699</v>
      </c>
      <c r="I128" t="s">
        <v>203</v>
      </c>
    </row>
    <row r="129" spans="1:9">
      <c r="A129">
        <v>50128</v>
      </c>
      <c r="B129">
        <v>3011</v>
      </c>
      <c r="C129">
        <v>2002</v>
      </c>
      <c r="D129" s="7">
        <v>45694</v>
      </c>
      <c r="E129" t="s">
        <v>201</v>
      </c>
      <c r="F129" t="s">
        <v>214</v>
      </c>
      <c r="H129" s="7">
        <v>45724</v>
      </c>
      <c r="I129" t="s">
        <v>216</v>
      </c>
    </row>
    <row r="130" spans="1:9">
      <c r="A130">
        <v>50129</v>
      </c>
      <c r="B130">
        <v>3011</v>
      </c>
      <c r="C130">
        <v>2002</v>
      </c>
      <c r="D130" s="7">
        <v>45715</v>
      </c>
      <c r="E130" t="s">
        <v>204</v>
      </c>
      <c r="F130" t="s">
        <v>202</v>
      </c>
      <c r="G130">
        <v>60</v>
      </c>
      <c r="H130" s="7">
        <v>45736</v>
      </c>
      <c r="I130" t="s">
        <v>211</v>
      </c>
    </row>
    <row r="131" spans="1:9">
      <c r="A131">
        <v>50130</v>
      </c>
      <c r="B131">
        <v>3011</v>
      </c>
      <c r="C131">
        <v>2002</v>
      </c>
      <c r="D131" s="7">
        <v>45721</v>
      </c>
      <c r="E131" t="s">
        <v>219</v>
      </c>
      <c r="F131" t="s">
        <v>202</v>
      </c>
      <c r="G131">
        <v>10</v>
      </c>
      <c r="H131" s="7">
        <v>45728</v>
      </c>
      <c r="I131" t="s">
        <v>217</v>
      </c>
    </row>
    <row r="132" spans="1:9">
      <c r="A132">
        <v>50131</v>
      </c>
      <c r="B132">
        <v>3011</v>
      </c>
      <c r="C132">
        <v>2002</v>
      </c>
      <c r="D132" s="7">
        <v>45721</v>
      </c>
      <c r="E132" t="s">
        <v>204</v>
      </c>
      <c r="F132" t="s">
        <v>202</v>
      </c>
      <c r="G132">
        <v>60</v>
      </c>
      <c r="H132" s="7">
        <v>45735</v>
      </c>
      <c r="I132" t="s">
        <v>209</v>
      </c>
    </row>
    <row r="133" spans="1:9">
      <c r="A133">
        <v>50132</v>
      </c>
      <c r="B133">
        <v>3011</v>
      </c>
      <c r="C133">
        <v>2002</v>
      </c>
      <c r="D133" s="7">
        <v>45722</v>
      </c>
      <c r="E133" t="s">
        <v>210</v>
      </c>
      <c r="F133" t="s">
        <v>218</v>
      </c>
      <c r="H133" s="7"/>
      <c r="I133" t="s">
        <v>216</v>
      </c>
    </row>
    <row r="134" spans="1:9">
      <c r="A134">
        <v>50133</v>
      </c>
      <c r="B134">
        <v>3011</v>
      </c>
      <c r="C134">
        <v>2002</v>
      </c>
      <c r="D134" s="7">
        <v>45727</v>
      </c>
      <c r="E134" t="s">
        <v>208</v>
      </c>
      <c r="F134" t="s">
        <v>202</v>
      </c>
      <c r="G134">
        <v>10</v>
      </c>
      <c r="H134" s="7">
        <v>45757</v>
      </c>
      <c r="I134" t="s">
        <v>206</v>
      </c>
    </row>
    <row r="135" spans="1:9">
      <c r="A135">
        <v>50134</v>
      </c>
      <c r="B135">
        <v>3011</v>
      </c>
      <c r="C135">
        <v>2002</v>
      </c>
      <c r="D135" s="7">
        <v>45737</v>
      </c>
      <c r="E135" t="s">
        <v>212</v>
      </c>
      <c r="F135" t="s">
        <v>213</v>
      </c>
      <c r="H135" s="7">
        <v>45751</v>
      </c>
      <c r="I135" t="s">
        <v>207</v>
      </c>
    </row>
    <row r="136" spans="1:9">
      <c r="A136">
        <v>50135</v>
      </c>
      <c r="B136">
        <v>3011</v>
      </c>
      <c r="C136">
        <v>2002</v>
      </c>
      <c r="D136" s="7">
        <v>45737</v>
      </c>
      <c r="E136" t="s">
        <v>204</v>
      </c>
      <c r="F136" t="s">
        <v>213</v>
      </c>
      <c r="H136" s="7">
        <v>45758</v>
      </c>
      <c r="I136" t="s">
        <v>211</v>
      </c>
    </row>
    <row r="137" spans="1:9">
      <c r="A137">
        <v>50136</v>
      </c>
      <c r="B137">
        <v>3012</v>
      </c>
      <c r="C137">
        <v>2018</v>
      </c>
      <c r="D137" s="7">
        <v>45435</v>
      </c>
      <c r="E137" t="s">
        <v>219</v>
      </c>
      <c r="F137" t="s">
        <v>215</v>
      </c>
      <c r="G137">
        <v>15</v>
      </c>
      <c r="H137" s="7">
        <v>45456</v>
      </c>
      <c r="I137" t="s">
        <v>209</v>
      </c>
    </row>
    <row r="138" spans="1:9">
      <c r="A138">
        <v>50137</v>
      </c>
      <c r="B138">
        <v>3012</v>
      </c>
      <c r="C138">
        <v>2018</v>
      </c>
      <c r="D138" s="7">
        <v>45437</v>
      </c>
      <c r="E138" t="s">
        <v>208</v>
      </c>
      <c r="F138" t="s">
        <v>202</v>
      </c>
      <c r="G138">
        <v>20</v>
      </c>
      <c r="H138" s="7">
        <v>45444</v>
      </c>
      <c r="I138" t="s">
        <v>203</v>
      </c>
    </row>
    <row r="139" spans="1:9">
      <c r="A139">
        <v>50138</v>
      </c>
      <c r="B139">
        <v>3012</v>
      </c>
      <c r="C139">
        <v>2018</v>
      </c>
      <c r="D139" s="7">
        <v>45471</v>
      </c>
      <c r="E139" t="s">
        <v>204</v>
      </c>
      <c r="F139" t="s">
        <v>202</v>
      </c>
      <c r="G139">
        <v>45</v>
      </c>
      <c r="H139" s="7">
        <v>45485</v>
      </c>
      <c r="I139" t="s">
        <v>207</v>
      </c>
    </row>
    <row r="140" spans="1:9">
      <c r="A140">
        <v>50139</v>
      </c>
      <c r="B140">
        <v>3012</v>
      </c>
      <c r="C140">
        <v>2018</v>
      </c>
      <c r="D140" s="7">
        <v>45489</v>
      </c>
      <c r="E140" t="s">
        <v>201</v>
      </c>
      <c r="F140" t="s">
        <v>205</v>
      </c>
      <c r="H140" s="7"/>
      <c r="I140" t="s">
        <v>203</v>
      </c>
    </row>
    <row r="141" spans="1:9">
      <c r="A141">
        <v>50140</v>
      </c>
      <c r="B141">
        <v>3012</v>
      </c>
      <c r="C141">
        <v>2018</v>
      </c>
      <c r="D141" s="7">
        <v>45529</v>
      </c>
      <c r="E141" t="s">
        <v>204</v>
      </c>
      <c r="F141" t="s">
        <v>202</v>
      </c>
      <c r="G141">
        <v>45</v>
      </c>
      <c r="H141" s="7">
        <v>45559</v>
      </c>
      <c r="I141" t="s">
        <v>211</v>
      </c>
    </row>
    <row r="142" spans="1:9">
      <c r="A142">
        <v>50141</v>
      </c>
      <c r="B142">
        <v>3012</v>
      </c>
      <c r="C142">
        <v>2018</v>
      </c>
      <c r="D142" s="7">
        <v>45538</v>
      </c>
      <c r="E142" t="s">
        <v>204</v>
      </c>
      <c r="F142" t="s">
        <v>215</v>
      </c>
      <c r="G142">
        <v>20</v>
      </c>
      <c r="H142" s="7">
        <v>45568</v>
      </c>
      <c r="I142" t="s">
        <v>216</v>
      </c>
    </row>
    <row r="143" spans="1:9">
      <c r="A143">
        <v>50142</v>
      </c>
      <c r="B143">
        <v>3012</v>
      </c>
      <c r="C143">
        <v>2018</v>
      </c>
      <c r="D143" s="7">
        <v>45557</v>
      </c>
      <c r="E143" t="s">
        <v>219</v>
      </c>
      <c r="F143" t="s">
        <v>202</v>
      </c>
      <c r="G143">
        <v>20</v>
      </c>
      <c r="H143" s="7">
        <v>45564</v>
      </c>
      <c r="I143" t="s">
        <v>217</v>
      </c>
    </row>
    <row r="144" spans="1:9">
      <c r="A144">
        <v>50143</v>
      </c>
      <c r="B144">
        <v>3012</v>
      </c>
      <c r="C144">
        <v>2018</v>
      </c>
      <c r="D144" s="7">
        <v>45778</v>
      </c>
      <c r="E144" t="s">
        <v>212</v>
      </c>
      <c r="F144" t="s">
        <v>205</v>
      </c>
      <c r="H144" s="7"/>
      <c r="I144" t="s">
        <v>209</v>
      </c>
    </row>
    <row r="145" spans="1:9">
      <c r="A145">
        <v>50144</v>
      </c>
      <c r="B145">
        <v>3012</v>
      </c>
      <c r="C145">
        <v>2018</v>
      </c>
      <c r="D145" s="7">
        <v>45840</v>
      </c>
      <c r="E145" t="s">
        <v>219</v>
      </c>
      <c r="F145" t="s">
        <v>214</v>
      </c>
      <c r="H145" s="7">
        <v>45870</v>
      </c>
      <c r="I145" t="s">
        <v>211</v>
      </c>
    </row>
    <row r="146" spans="1:9">
      <c r="A146">
        <v>50145</v>
      </c>
      <c r="B146">
        <v>3012</v>
      </c>
      <c r="C146">
        <v>2018</v>
      </c>
      <c r="D146" s="7">
        <v>46015</v>
      </c>
      <c r="E146" t="s">
        <v>201</v>
      </c>
      <c r="F146" t="s">
        <v>202</v>
      </c>
      <c r="G146">
        <v>90</v>
      </c>
      <c r="H146" s="7">
        <v>46018</v>
      </c>
      <c r="I146" t="s">
        <v>203</v>
      </c>
    </row>
    <row r="147" spans="1:9">
      <c r="A147">
        <v>50146</v>
      </c>
      <c r="B147">
        <v>3012</v>
      </c>
      <c r="C147">
        <v>2018</v>
      </c>
      <c r="D147" s="7">
        <v>46161</v>
      </c>
      <c r="E147" t="s">
        <v>201</v>
      </c>
      <c r="F147" t="s">
        <v>214</v>
      </c>
      <c r="H147" s="7">
        <v>46191</v>
      </c>
      <c r="I147" t="s">
        <v>209</v>
      </c>
    </row>
    <row r="148" spans="1:9">
      <c r="A148">
        <v>50147</v>
      </c>
      <c r="B148">
        <v>3013</v>
      </c>
      <c r="C148">
        <v>2006</v>
      </c>
      <c r="D148" s="7">
        <v>45982</v>
      </c>
      <c r="E148" t="s">
        <v>210</v>
      </c>
      <c r="F148" t="s">
        <v>218</v>
      </c>
      <c r="H148" s="7"/>
      <c r="I148" t="s">
        <v>216</v>
      </c>
    </row>
    <row r="149" spans="1:9">
      <c r="A149">
        <v>50148</v>
      </c>
      <c r="B149">
        <v>3013</v>
      </c>
      <c r="C149">
        <v>2006</v>
      </c>
      <c r="D149" s="7">
        <v>45988</v>
      </c>
      <c r="E149" t="s">
        <v>210</v>
      </c>
      <c r="F149" t="s">
        <v>214</v>
      </c>
      <c r="H149" s="7">
        <v>46018</v>
      </c>
      <c r="I149" t="s">
        <v>206</v>
      </c>
    </row>
    <row r="150" spans="1:9">
      <c r="A150">
        <v>50149</v>
      </c>
      <c r="B150">
        <v>3013</v>
      </c>
      <c r="C150">
        <v>2006</v>
      </c>
      <c r="D150" s="7">
        <v>46011</v>
      </c>
      <c r="E150" t="s">
        <v>204</v>
      </c>
      <c r="F150" t="s">
        <v>202</v>
      </c>
      <c r="G150">
        <v>30</v>
      </c>
      <c r="H150" s="7">
        <v>46025</v>
      </c>
      <c r="I150" t="s">
        <v>217</v>
      </c>
    </row>
    <row r="151" spans="1:9">
      <c r="A151">
        <v>50150</v>
      </c>
      <c r="B151">
        <v>3013</v>
      </c>
      <c r="C151">
        <v>2006</v>
      </c>
      <c r="D151" s="7">
        <v>46094</v>
      </c>
      <c r="E151" t="s">
        <v>210</v>
      </c>
      <c r="F151" t="s">
        <v>214</v>
      </c>
      <c r="H151" s="7">
        <v>46124</v>
      </c>
      <c r="I151" t="s">
        <v>216</v>
      </c>
    </row>
    <row r="152" spans="1:9">
      <c r="A152">
        <v>50151</v>
      </c>
      <c r="B152">
        <v>3013</v>
      </c>
      <c r="C152">
        <v>2006</v>
      </c>
      <c r="D152" s="7">
        <v>46103</v>
      </c>
      <c r="E152" t="s">
        <v>201</v>
      </c>
      <c r="F152" t="s">
        <v>218</v>
      </c>
      <c r="H152" s="7"/>
      <c r="I152" t="s">
        <v>207</v>
      </c>
    </row>
    <row r="153" spans="1:9">
      <c r="A153">
        <v>50152</v>
      </c>
      <c r="B153">
        <v>3013</v>
      </c>
      <c r="C153">
        <v>2006</v>
      </c>
      <c r="D153" s="7">
        <v>46106</v>
      </c>
      <c r="E153" t="s">
        <v>210</v>
      </c>
      <c r="F153" t="s">
        <v>218</v>
      </c>
      <c r="H153" s="7"/>
      <c r="I153" t="s">
        <v>207</v>
      </c>
    </row>
    <row r="154" spans="1:9">
      <c r="A154">
        <v>50153</v>
      </c>
      <c r="B154">
        <v>3013</v>
      </c>
      <c r="C154">
        <v>2006</v>
      </c>
      <c r="D154" s="7">
        <v>46141</v>
      </c>
      <c r="E154" t="s">
        <v>212</v>
      </c>
      <c r="F154" t="s">
        <v>215</v>
      </c>
      <c r="G154">
        <v>20</v>
      </c>
      <c r="H154" s="7">
        <v>46171</v>
      </c>
      <c r="I154" t="s">
        <v>207</v>
      </c>
    </row>
    <row r="155" spans="1:9">
      <c r="A155">
        <v>50154</v>
      </c>
      <c r="B155">
        <v>3013</v>
      </c>
      <c r="C155">
        <v>2006</v>
      </c>
      <c r="D155" s="7">
        <v>46157</v>
      </c>
      <c r="E155" t="s">
        <v>210</v>
      </c>
      <c r="F155" t="s">
        <v>205</v>
      </c>
      <c r="H155" s="7"/>
      <c r="I155" t="s">
        <v>217</v>
      </c>
    </row>
    <row r="156" spans="1:9">
      <c r="A156">
        <v>50155</v>
      </c>
      <c r="B156">
        <v>3013</v>
      </c>
      <c r="C156">
        <v>2006</v>
      </c>
      <c r="D156" s="7">
        <v>46158</v>
      </c>
      <c r="E156" t="s">
        <v>210</v>
      </c>
      <c r="F156" t="s">
        <v>214</v>
      </c>
      <c r="H156" s="7">
        <v>46165</v>
      </c>
      <c r="I156" t="s">
        <v>217</v>
      </c>
    </row>
    <row r="157" spans="1:9">
      <c r="A157">
        <v>50156</v>
      </c>
      <c r="B157">
        <v>3013</v>
      </c>
      <c r="C157">
        <v>2006</v>
      </c>
      <c r="D157" s="7">
        <v>46176</v>
      </c>
      <c r="E157" t="s">
        <v>210</v>
      </c>
      <c r="F157" t="s">
        <v>218</v>
      </c>
      <c r="H157" s="7"/>
      <c r="I157" t="s">
        <v>207</v>
      </c>
    </row>
    <row r="158" spans="1:9">
      <c r="A158">
        <v>50157</v>
      </c>
      <c r="B158">
        <v>3014</v>
      </c>
      <c r="C158">
        <v>2006</v>
      </c>
      <c r="D158" s="7">
        <v>45477</v>
      </c>
      <c r="E158" t="s">
        <v>201</v>
      </c>
      <c r="F158" t="s">
        <v>202</v>
      </c>
      <c r="G158">
        <v>60</v>
      </c>
      <c r="H158" s="7">
        <v>45507</v>
      </c>
      <c r="I158" t="s">
        <v>211</v>
      </c>
    </row>
    <row r="159" spans="1:9">
      <c r="A159">
        <v>50158</v>
      </c>
      <c r="B159">
        <v>3014</v>
      </c>
      <c r="C159">
        <v>2006</v>
      </c>
      <c r="D159" s="7">
        <v>45536</v>
      </c>
      <c r="E159" t="s">
        <v>204</v>
      </c>
      <c r="F159" t="s">
        <v>215</v>
      </c>
      <c r="G159">
        <v>20</v>
      </c>
      <c r="H159" s="7">
        <v>45566</v>
      </c>
      <c r="I159" t="s">
        <v>211</v>
      </c>
    </row>
    <row r="160" spans="1:9">
      <c r="A160">
        <v>50159</v>
      </c>
      <c r="B160">
        <v>3014</v>
      </c>
      <c r="C160">
        <v>2006</v>
      </c>
      <c r="D160" s="7">
        <v>45561</v>
      </c>
      <c r="E160" t="s">
        <v>204</v>
      </c>
      <c r="F160" t="s">
        <v>202</v>
      </c>
      <c r="G160">
        <v>20</v>
      </c>
      <c r="H160" s="7">
        <v>45564</v>
      </c>
      <c r="I160" t="s">
        <v>203</v>
      </c>
    </row>
    <row r="161" spans="1:9">
      <c r="A161">
        <v>50160</v>
      </c>
      <c r="B161">
        <v>3014</v>
      </c>
      <c r="C161">
        <v>2006</v>
      </c>
      <c r="D161" s="7">
        <v>45584</v>
      </c>
      <c r="E161" t="s">
        <v>212</v>
      </c>
      <c r="F161" t="s">
        <v>202</v>
      </c>
      <c r="G161">
        <v>15</v>
      </c>
      <c r="H161" s="7">
        <v>45591</v>
      </c>
      <c r="I161" t="s">
        <v>209</v>
      </c>
    </row>
    <row r="162" spans="1:9">
      <c r="A162">
        <v>50161</v>
      </c>
      <c r="B162">
        <v>3014</v>
      </c>
      <c r="C162">
        <v>2006</v>
      </c>
      <c r="D162" s="7">
        <v>45607</v>
      </c>
      <c r="E162" t="s">
        <v>208</v>
      </c>
      <c r="F162" t="s">
        <v>202</v>
      </c>
      <c r="G162">
        <v>15</v>
      </c>
      <c r="H162" s="7">
        <v>45614</v>
      </c>
      <c r="I162" t="s">
        <v>211</v>
      </c>
    </row>
    <row r="163" spans="1:9">
      <c r="A163">
        <v>50162</v>
      </c>
      <c r="B163">
        <v>3014</v>
      </c>
      <c r="C163">
        <v>2006</v>
      </c>
      <c r="D163" s="7">
        <v>45709</v>
      </c>
      <c r="E163" t="s">
        <v>212</v>
      </c>
      <c r="F163" t="s">
        <v>202</v>
      </c>
      <c r="G163">
        <v>90</v>
      </c>
      <c r="H163" s="7">
        <v>45716</v>
      </c>
      <c r="I163" t="s">
        <v>216</v>
      </c>
    </row>
    <row r="164" spans="1:9">
      <c r="A164">
        <v>50163</v>
      </c>
      <c r="B164">
        <v>3014</v>
      </c>
      <c r="C164">
        <v>2006</v>
      </c>
      <c r="D164" s="7">
        <v>45774</v>
      </c>
      <c r="E164" t="s">
        <v>212</v>
      </c>
      <c r="F164" t="s">
        <v>215</v>
      </c>
      <c r="G164">
        <v>10</v>
      </c>
      <c r="H164" s="7">
        <v>45788</v>
      </c>
      <c r="I164" t="s">
        <v>207</v>
      </c>
    </row>
    <row r="165" spans="1:9">
      <c r="A165">
        <v>50164</v>
      </c>
      <c r="B165">
        <v>3014</v>
      </c>
      <c r="C165">
        <v>2006</v>
      </c>
      <c r="D165" s="7">
        <v>45807</v>
      </c>
      <c r="E165" t="s">
        <v>210</v>
      </c>
      <c r="F165" t="s">
        <v>202</v>
      </c>
      <c r="G165">
        <v>90</v>
      </c>
      <c r="H165" s="7">
        <v>45837</v>
      </c>
      <c r="I165" t="s">
        <v>216</v>
      </c>
    </row>
    <row r="166" spans="1:9">
      <c r="A166">
        <v>50165</v>
      </c>
      <c r="B166">
        <v>3014</v>
      </c>
      <c r="C166">
        <v>2006</v>
      </c>
      <c r="D166" s="7">
        <v>45816</v>
      </c>
      <c r="E166" t="s">
        <v>210</v>
      </c>
      <c r="F166" t="s">
        <v>213</v>
      </c>
      <c r="H166" s="7">
        <v>45846</v>
      </c>
      <c r="I166" t="s">
        <v>206</v>
      </c>
    </row>
    <row r="167" spans="1:9">
      <c r="A167">
        <v>50166</v>
      </c>
      <c r="B167">
        <v>3014</v>
      </c>
      <c r="C167">
        <v>2006</v>
      </c>
      <c r="D167" s="7">
        <v>45820</v>
      </c>
      <c r="E167" t="s">
        <v>212</v>
      </c>
      <c r="F167" t="s">
        <v>202</v>
      </c>
      <c r="G167">
        <v>15</v>
      </c>
      <c r="H167" s="7">
        <v>45823</v>
      </c>
      <c r="I167" t="s">
        <v>206</v>
      </c>
    </row>
    <row r="168" spans="1:9">
      <c r="A168">
        <v>50167</v>
      </c>
      <c r="B168">
        <v>3014</v>
      </c>
      <c r="C168">
        <v>2006</v>
      </c>
      <c r="D168" s="7">
        <v>45842</v>
      </c>
      <c r="E168" t="s">
        <v>212</v>
      </c>
      <c r="F168" t="s">
        <v>214</v>
      </c>
      <c r="H168" s="7">
        <v>45849</v>
      </c>
      <c r="I168" t="s">
        <v>203</v>
      </c>
    </row>
    <row r="169" spans="1:9">
      <c r="A169">
        <v>50168</v>
      </c>
      <c r="B169">
        <v>3014</v>
      </c>
      <c r="C169">
        <v>2006</v>
      </c>
      <c r="D169" s="7">
        <v>45870</v>
      </c>
      <c r="E169" t="s">
        <v>212</v>
      </c>
      <c r="F169" t="s">
        <v>202</v>
      </c>
      <c r="G169">
        <v>10</v>
      </c>
      <c r="H169" s="7">
        <v>45891</v>
      </c>
      <c r="I169" t="s">
        <v>207</v>
      </c>
    </row>
    <row r="170" spans="1:9">
      <c r="A170">
        <v>50169</v>
      </c>
      <c r="B170">
        <v>3014</v>
      </c>
      <c r="C170">
        <v>2006</v>
      </c>
      <c r="D170" s="7">
        <v>45931</v>
      </c>
      <c r="E170" t="s">
        <v>208</v>
      </c>
      <c r="F170" t="s">
        <v>202</v>
      </c>
      <c r="G170">
        <v>10</v>
      </c>
      <c r="H170" s="7">
        <v>45945</v>
      </c>
      <c r="I170" t="s">
        <v>217</v>
      </c>
    </row>
    <row r="171" spans="1:9">
      <c r="A171">
        <v>50170</v>
      </c>
      <c r="B171">
        <v>3014</v>
      </c>
      <c r="C171">
        <v>2006</v>
      </c>
      <c r="D171" s="7">
        <v>46033</v>
      </c>
      <c r="E171" t="s">
        <v>201</v>
      </c>
      <c r="F171" t="s">
        <v>202</v>
      </c>
      <c r="G171">
        <v>60</v>
      </c>
      <c r="H171" s="7">
        <v>46054</v>
      </c>
      <c r="I171" t="s">
        <v>211</v>
      </c>
    </row>
    <row r="172" spans="1:9">
      <c r="A172">
        <v>50171</v>
      </c>
      <c r="B172">
        <v>3014</v>
      </c>
      <c r="C172">
        <v>2006</v>
      </c>
      <c r="D172" s="7">
        <v>46058</v>
      </c>
      <c r="E172" t="s">
        <v>208</v>
      </c>
      <c r="F172" t="s">
        <v>213</v>
      </c>
      <c r="H172" s="7">
        <v>46061</v>
      </c>
      <c r="I172" t="s">
        <v>206</v>
      </c>
    </row>
    <row r="173" spans="1:9">
      <c r="A173">
        <v>50172</v>
      </c>
      <c r="B173">
        <v>3014</v>
      </c>
      <c r="C173">
        <v>2006</v>
      </c>
      <c r="D173" s="7">
        <v>46071</v>
      </c>
      <c r="E173" t="s">
        <v>201</v>
      </c>
      <c r="F173" t="s">
        <v>202</v>
      </c>
      <c r="G173">
        <v>60</v>
      </c>
      <c r="H173" s="7">
        <v>46078</v>
      </c>
      <c r="I173" t="s">
        <v>211</v>
      </c>
    </row>
    <row r="174" spans="1:9">
      <c r="A174">
        <v>50173</v>
      </c>
      <c r="B174">
        <v>3014</v>
      </c>
      <c r="C174">
        <v>2006</v>
      </c>
      <c r="D174" s="7">
        <v>46081</v>
      </c>
      <c r="E174" t="s">
        <v>210</v>
      </c>
      <c r="F174" t="s">
        <v>214</v>
      </c>
      <c r="H174" s="7">
        <v>46102</v>
      </c>
      <c r="I174" t="s">
        <v>217</v>
      </c>
    </row>
    <row r="175" spans="1:9">
      <c r="A175">
        <v>50174</v>
      </c>
      <c r="B175">
        <v>3014</v>
      </c>
      <c r="C175">
        <v>2006</v>
      </c>
      <c r="D175" s="7">
        <v>46158</v>
      </c>
      <c r="E175" t="s">
        <v>219</v>
      </c>
      <c r="F175" t="s">
        <v>215</v>
      </c>
      <c r="G175">
        <v>60</v>
      </c>
      <c r="H175" s="7">
        <v>46172</v>
      </c>
      <c r="I175" t="s">
        <v>209</v>
      </c>
    </row>
    <row r="176" spans="1:9">
      <c r="A176">
        <v>50175</v>
      </c>
      <c r="B176">
        <v>3014</v>
      </c>
      <c r="C176">
        <v>2006</v>
      </c>
      <c r="D176" s="7">
        <v>46181</v>
      </c>
      <c r="E176" t="s">
        <v>210</v>
      </c>
      <c r="F176" t="s">
        <v>214</v>
      </c>
      <c r="H176" s="7">
        <v>46211</v>
      </c>
      <c r="I176" t="s">
        <v>206</v>
      </c>
    </row>
    <row r="177" spans="1:9">
      <c r="A177">
        <v>50176</v>
      </c>
      <c r="B177">
        <v>3014</v>
      </c>
      <c r="C177">
        <v>2006</v>
      </c>
      <c r="D177" s="7">
        <v>46185</v>
      </c>
      <c r="E177" t="s">
        <v>210</v>
      </c>
      <c r="F177" t="s">
        <v>218</v>
      </c>
      <c r="H177" s="7"/>
      <c r="I177" t="s">
        <v>207</v>
      </c>
    </row>
    <row r="178" spans="1:9">
      <c r="A178">
        <v>50177</v>
      </c>
      <c r="B178">
        <v>3015</v>
      </c>
      <c r="C178">
        <v>2018</v>
      </c>
      <c r="D178" s="7">
        <v>46086</v>
      </c>
      <c r="E178" t="s">
        <v>204</v>
      </c>
      <c r="F178" t="s">
        <v>202</v>
      </c>
      <c r="G178">
        <v>30</v>
      </c>
      <c r="H178" s="7">
        <v>46100</v>
      </c>
      <c r="I178" t="s">
        <v>203</v>
      </c>
    </row>
    <row r="179" spans="1:9">
      <c r="A179">
        <v>50178</v>
      </c>
      <c r="B179">
        <v>3015</v>
      </c>
      <c r="C179">
        <v>2018</v>
      </c>
      <c r="D179" s="7">
        <v>46105</v>
      </c>
      <c r="E179" t="s">
        <v>219</v>
      </c>
      <c r="F179" t="s">
        <v>214</v>
      </c>
      <c r="H179" s="7">
        <v>46112</v>
      </c>
      <c r="I179" t="s">
        <v>217</v>
      </c>
    </row>
    <row r="180" spans="1:9">
      <c r="A180">
        <v>50179</v>
      </c>
      <c r="B180">
        <v>3015</v>
      </c>
      <c r="C180">
        <v>2018</v>
      </c>
      <c r="D180" s="7">
        <v>46126</v>
      </c>
      <c r="E180" t="s">
        <v>212</v>
      </c>
      <c r="F180" t="s">
        <v>202</v>
      </c>
      <c r="G180">
        <v>90</v>
      </c>
      <c r="H180" s="7">
        <v>46129</v>
      </c>
      <c r="I180" t="s">
        <v>217</v>
      </c>
    </row>
    <row r="181" spans="1:9">
      <c r="A181">
        <v>50180</v>
      </c>
      <c r="B181">
        <v>3015</v>
      </c>
      <c r="C181">
        <v>2018</v>
      </c>
      <c r="D181" s="7">
        <v>46131</v>
      </c>
      <c r="E181" t="s">
        <v>204</v>
      </c>
      <c r="F181" t="s">
        <v>218</v>
      </c>
      <c r="H181" s="7"/>
      <c r="I181" t="s">
        <v>206</v>
      </c>
    </row>
    <row r="182" spans="1:9">
      <c r="A182">
        <v>50181</v>
      </c>
      <c r="B182">
        <v>3015</v>
      </c>
      <c r="C182">
        <v>2018</v>
      </c>
      <c r="D182" s="7">
        <v>46161</v>
      </c>
      <c r="E182" t="s">
        <v>212</v>
      </c>
      <c r="F182" t="s">
        <v>213</v>
      </c>
      <c r="H182" s="7">
        <v>46168</v>
      </c>
      <c r="I182" t="s">
        <v>206</v>
      </c>
    </row>
    <row r="183" spans="1:9">
      <c r="A183">
        <v>50182</v>
      </c>
      <c r="B183">
        <v>3015</v>
      </c>
      <c r="C183">
        <v>2018</v>
      </c>
      <c r="D183" s="7">
        <v>46164</v>
      </c>
      <c r="E183" t="s">
        <v>204</v>
      </c>
      <c r="F183" t="s">
        <v>213</v>
      </c>
      <c r="H183" s="7">
        <v>46167</v>
      </c>
      <c r="I183" t="s">
        <v>216</v>
      </c>
    </row>
    <row r="184" spans="1:9">
      <c r="A184">
        <v>50183</v>
      </c>
      <c r="B184">
        <v>3015</v>
      </c>
      <c r="C184">
        <v>2018</v>
      </c>
      <c r="D184" s="7">
        <v>46171</v>
      </c>
      <c r="E184" t="s">
        <v>201</v>
      </c>
      <c r="F184" t="s">
        <v>202</v>
      </c>
      <c r="G184">
        <v>10</v>
      </c>
      <c r="H184" s="7">
        <v>46178</v>
      </c>
      <c r="I184" t="s">
        <v>211</v>
      </c>
    </row>
    <row r="185" spans="1:9">
      <c r="A185">
        <v>50184</v>
      </c>
      <c r="B185">
        <v>3015</v>
      </c>
      <c r="C185">
        <v>2018</v>
      </c>
      <c r="D185" s="7">
        <v>46186</v>
      </c>
      <c r="E185" t="s">
        <v>212</v>
      </c>
      <c r="F185" t="s">
        <v>202</v>
      </c>
      <c r="G185">
        <v>45</v>
      </c>
      <c r="H185" s="7">
        <v>46200</v>
      </c>
      <c r="I185" t="s">
        <v>207</v>
      </c>
    </row>
    <row r="186" spans="1:9">
      <c r="A186">
        <v>50185</v>
      </c>
      <c r="B186">
        <v>3015</v>
      </c>
      <c r="C186">
        <v>2018</v>
      </c>
      <c r="D186" s="7">
        <v>46191</v>
      </c>
      <c r="E186" t="s">
        <v>212</v>
      </c>
      <c r="F186" t="s">
        <v>202</v>
      </c>
      <c r="G186">
        <v>30</v>
      </c>
      <c r="H186" s="7">
        <v>46194</v>
      </c>
      <c r="I186" t="s">
        <v>209</v>
      </c>
    </row>
    <row r="187" spans="1:9">
      <c r="A187">
        <v>50186</v>
      </c>
      <c r="B187">
        <v>3016</v>
      </c>
      <c r="C187">
        <v>2013</v>
      </c>
      <c r="D187" s="7">
        <v>45710</v>
      </c>
      <c r="E187" t="s">
        <v>212</v>
      </c>
      <c r="F187" t="s">
        <v>202</v>
      </c>
      <c r="G187">
        <v>10</v>
      </c>
      <c r="H187" s="7">
        <v>45713</v>
      </c>
      <c r="I187" t="s">
        <v>203</v>
      </c>
    </row>
    <row r="188" spans="1:9">
      <c r="A188">
        <v>50187</v>
      </c>
      <c r="B188">
        <v>3016</v>
      </c>
      <c r="C188">
        <v>2013</v>
      </c>
      <c r="D188" s="7">
        <v>45732</v>
      </c>
      <c r="E188" t="s">
        <v>212</v>
      </c>
      <c r="F188" t="s">
        <v>215</v>
      </c>
      <c r="G188">
        <v>60</v>
      </c>
      <c r="H188" s="7">
        <v>45735</v>
      </c>
      <c r="I188" t="s">
        <v>217</v>
      </c>
    </row>
    <row r="189" spans="1:9">
      <c r="A189">
        <v>50188</v>
      </c>
      <c r="B189">
        <v>3016</v>
      </c>
      <c r="C189">
        <v>2013</v>
      </c>
      <c r="D189" s="7">
        <v>45771</v>
      </c>
      <c r="E189" t="s">
        <v>212</v>
      </c>
      <c r="F189" t="s">
        <v>218</v>
      </c>
      <c r="H189" s="7"/>
      <c r="I189" t="s">
        <v>206</v>
      </c>
    </row>
    <row r="190" spans="1:9">
      <c r="A190">
        <v>50189</v>
      </c>
      <c r="B190">
        <v>3016</v>
      </c>
      <c r="C190">
        <v>2013</v>
      </c>
      <c r="D190" s="7">
        <v>45837</v>
      </c>
      <c r="E190" t="s">
        <v>208</v>
      </c>
      <c r="F190" t="s">
        <v>202</v>
      </c>
      <c r="G190">
        <v>60</v>
      </c>
      <c r="H190" s="7">
        <v>45858</v>
      </c>
      <c r="I190" t="s">
        <v>211</v>
      </c>
    </row>
    <row r="191" spans="1:9">
      <c r="A191">
        <v>50190</v>
      </c>
      <c r="B191">
        <v>3016</v>
      </c>
      <c r="C191">
        <v>2013</v>
      </c>
      <c r="D191" s="7">
        <v>45900</v>
      </c>
      <c r="E191" t="s">
        <v>219</v>
      </c>
      <c r="F191" t="s">
        <v>214</v>
      </c>
      <c r="H191" s="7">
        <v>45907</v>
      </c>
      <c r="I191" t="s">
        <v>217</v>
      </c>
    </row>
    <row r="192" spans="1:9">
      <c r="A192">
        <v>50191</v>
      </c>
      <c r="B192">
        <v>3016</v>
      </c>
      <c r="C192">
        <v>2013</v>
      </c>
      <c r="D192" s="7">
        <v>45914</v>
      </c>
      <c r="E192" t="s">
        <v>204</v>
      </c>
      <c r="F192" t="s">
        <v>202</v>
      </c>
      <c r="G192">
        <v>10</v>
      </c>
      <c r="H192" s="7">
        <v>45935</v>
      </c>
      <c r="I192" t="s">
        <v>216</v>
      </c>
    </row>
    <row r="193" spans="1:9">
      <c r="A193">
        <v>50192</v>
      </c>
      <c r="B193">
        <v>3016</v>
      </c>
      <c r="C193">
        <v>2013</v>
      </c>
      <c r="D193" s="7">
        <v>45938</v>
      </c>
      <c r="E193" t="s">
        <v>219</v>
      </c>
      <c r="F193" t="s">
        <v>202</v>
      </c>
      <c r="G193">
        <v>15</v>
      </c>
      <c r="H193" s="7">
        <v>45968</v>
      </c>
      <c r="I193" t="s">
        <v>203</v>
      </c>
    </row>
    <row r="194" spans="1:9">
      <c r="A194">
        <v>50193</v>
      </c>
      <c r="B194">
        <v>3016</v>
      </c>
      <c r="C194">
        <v>2013</v>
      </c>
      <c r="D194" s="7">
        <v>45946</v>
      </c>
      <c r="E194" t="s">
        <v>219</v>
      </c>
      <c r="F194" t="s">
        <v>202</v>
      </c>
      <c r="G194">
        <v>60</v>
      </c>
      <c r="H194" s="7">
        <v>45976</v>
      </c>
      <c r="I194" t="s">
        <v>206</v>
      </c>
    </row>
    <row r="195" spans="1:9">
      <c r="A195">
        <v>50194</v>
      </c>
      <c r="B195">
        <v>3016</v>
      </c>
      <c r="C195">
        <v>2013</v>
      </c>
      <c r="D195" s="7">
        <v>45964</v>
      </c>
      <c r="E195" t="s">
        <v>212</v>
      </c>
      <c r="F195" t="s">
        <v>202</v>
      </c>
      <c r="G195">
        <v>30</v>
      </c>
      <c r="H195" s="7">
        <v>45967</v>
      </c>
      <c r="I195" t="s">
        <v>203</v>
      </c>
    </row>
    <row r="196" spans="1:9">
      <c r="A196">
        <v>50195</v>
      </c>
      <c r="B196">
        <v>3016</v>
      </c>
      <c r="C196">
        <v>2013</v>
      </c>
      <c r="D196" s="7">
        <v>45980</v>
      </c>
      <c r="E196" t="s">
        <v>212</v>
      </c>
      <c r="F196" t="s">
        <v>213</v>
      </c>
      <c r="H196" s="7">
        <v>46010</v>
      </c>
      <c r="I196" t="s">
        <v>206</v>
      </c>
    </row>
    <row r="197" spans="1:9">
      <c r="A197">
        <v>50196</v>
      </c>
      <c r="B197">
        <v>3016</v>
      </c>
      <c r="C197">
        <v>2013</v>
      </c>
      <c r="D197" s="7">
        <v>45986</v>
      </c>
      <c r="E197" t="s">
        <v>212</v>
      </c>
      <c r="F197" t="s">
        <v>205</v>
      </c>
      <c r="H197" s="7"/>
      <c r="I197" t="s">
        <v>206</v>
      </c>
    </row>
    <row r="198" spans="1:9">
      <c r="A198">
        <v>50197</v>
      </c>
      <c r="B198">
        <v>3016</v>
      </c>
      <c r="C198">
        <v>2013</v>
      </c>
      <c r="D198" s="7">
        <v>46048</v>
      </c>
      <c r="E198" t="s">
        <v>210</v>
      </c>
      <c r="F198" t="s">
        <v>213</v>
      </c>
      <c r="H198" s="7">
        <v>46062</v>
      </c>
      <c r="I198" t="s">
        <v>207</v>
      </c>
    </row>
    <row r="199" spans="1:9">
      <c r="A199">
        <v>50198</v>
      </c>
      <c r="B199">
        <v>3016</v>
      </c>
      <c r="C199">
        <v>2013</v>
      </c>
      <c r="D199" s="7">
        <v>46074</v>
      </c>
      <c r="E199" t="s">
        <v>208</v>
      </c>
      <c r="F199" t="s">
        <v>202</v>
      </c>
      <c r="G199">
        <v>60</v>
      </c>
      <c r="H199" s="7">
        <v>46095</v>
      </c>
      <c r="I199" t="s">
        <v>207</v>
      </c>
    </row>
    <row r="200" spans="1:9">
      <c r="A200">
        <v>50199</v>
      </c>
      <c r="B200">
        <v>3016</v>
      </c>
      <c r="C200">
        <v>2013</v>
      </c>
      <c r="D200" s="7">
        <v>46078</v>
      </c>
      <c r="E200" t="s">
        <v>204</v>
      </c>
      <c r="F200" t="s">
        <v>202</v>
      </c>
      <c r="G200">
        <v>60</v>
      </c>
      <c r="H200" s="7">
        <v>46092</v>
      </c>
      <c r="I200" t="s">
        <v>211</v>
      </c>
    </row>
    <row r="201" spans="1:9">
      <c r="A201">
        <v>50200</v>
      </c>
      <c r="B201">
        <v>3016</v>
      </c>
      <c r="C201">
        <v>2013</v>
      </c>
      <c r="D201" s="7">
        <v>46088</v>
      </c>
      <c r="E201" t="s">
        <v>212</v>
      </c>
      <c r="F201" t="s">
        <v>202</v>
      </c>
      <c r="G201">
        <v>15</v>
      </c>
      <c r="H201" s="7">
        <v>46102</v>
      </c>
      <c r="I201" t="s">
        <v>203</v>
      </c>
    </row>
    <row r="202" spans="1:9">
      <c r="A202">
        <v>50201</v>
      </c>
      <c r="B202">
        <v>3016</v>
      </c>
      <c r="C202">
        <v>2013</v>
      </c>
      <c r="D202" s="7">
        <v>46105</v>
      </c>
      <c r="E202" t="s">
        <v>212</v>
      </c>
      <c r="F202" t="s">
        <v>215</v>
      </c>
      <c r="G202">
        <v>45</v>
      </c>
      <c r="H202" s="7">
        <v>46126</v>
      </c>
      <c r="I202" t="s">
        <v>207</v>
      </c>
    </row>
    <row r="203" spans="1:9">
      <c r="A203">
        <v>50202</v>
      </c>
      <c r="B203">
        <v>3016</v>
      </c>
      <c r="C203">
        <v>2013</v>
      </c>
      <c r="D203" s="7">
        <v>46108</v>
      </c>
      <c r="E203" t="s">
        <v>201</v>
      </c>
      <c r="F203" t="s">
        <v>202</v>
      </c>
      <c r="G203">
        <v>90</v>
      </c>
      <c r="H203" s="7">
        <v>46122</v>
      </c>
      <c r="I203" t="s">
        <v>209</v>
      </c>
    </row>
    <row r="204" spans="1:9">
      <c r="A204">
        <v>50203</v>
      </c>
      <c r="B204">
        <v>3016</v>
      </c>
      <c r="C204">
        <v>2013</v>
      </c>
      <c r="D204" s="7">
        <v>46134</v>
      </c>
      <c r="E204" t="s">
        <v>219</v>
      </c>
      <c r="F204" t="s">
        <v>202</v>
      </c>
      <c r="G204">
        <v>20</v>
      </c>
      <c r="H204" s="7">
        <v>46148</v>
      </c>
      <c r="I204" t="s">
        <v>209</v>
      </c>
    </row>
    <row r="205" spans="1:9">
      <c r="A205">
        <v>50204</v>
      </c>
      <c r="B205">
        <v>3016</v>
      </c>
      <c r="C205">
        <v>2013</v>
      </c>
      <c r="D205" s="7">
        <v>46202</v>
      </c>
      <c r="E205" t="s">
        <v>210</v>
      </c>
      <c r="F205" t="s">
        <v>205</v>
      </c>
      <c r="H205" s="7"/>
      <c r="I205" t="s">
        <v>211</v>
      </c>
    </row>
    <row r="206" spans="1:9">
      <c r="A206">
        <v>50205</v>
      </c>
      <c r="B206">
        <v>3016</v>
      </c>
      <c r="C206">
        <v>2013</v>
      </c>
      <c r="D206" s="7">
        <v>46213</v>
      </c>
      <c r="E206" t="s">
        <v>204</v>
      </c>
      <c r="F206" t="s">
        <v>218</v>
      </c>
      <c r="H206" s="7"/>
      <c r="I206" t="s">
        <v>207</v>
      </c>
    </row>
    <row r="207" spans="1:9">
      <c r="A207">
        <v>50206</v>
      </c>
      <c r="B207">
        <v>3017</v>
      </c>
      <c r="C207">
        <v>2007</v>
      </c>
      <c r="D207" s="7">
        <v>45702</v>
      </c>
      <c r="E207" t="s">
        <v>212</v>
      </c>
      <c r="F207" t="s">
        <v>214</v>
      </c>
      <c r="H207" s="7">
        <v>45709</v>
      </c>
      <c r="I207" t="s">
        <v>207</v>
      </c>
    </row>
    <row r="208" spans="1:9">
      <c r="A208">
        <v>50207</v>
      </c>
      <c r="B208">
        <v>3017</v>
      </c>
      <c r="C208">
        <v>2007</v>
      </c>
      <c r="D208" s="7">
        <v>45724</v>
      </c>
      <c r="E208" t="s">
        <v>212</v>
      </c>
      <c r="F208" t="s">
        <v>202</v>
      </c>
      <c r="G208">
        <v>30</v>
      </c>
      <c r="H208" s="7">
        <v>45738</v>
      </c>
      <c r="I208" t="s">
        <v>209</v>
      </c>
    </row>
    <row r="209" spans="1:9">
      <c r="A209">
        <v>50208</v>
      </c>
      <c r="B209">
        <v>3017</v>
      </c>
      <c r="C209">
        <v>2007</v>
      </c>
      <c r="D209" s="7">
        <v>45936</v>
      </c>
      <c r="E209" t="s">
        <v>204</v>
      </c>
      <c r="F209" t="s">
        <v>214</v>
      </c>
      <c r="H209" s="7">
        <v>45966</v>
      </c>
      <c r="I209" t="s">
        <v>207</v>
      </c>
    </row>
    <row r="210" spans="1:9">
      <c r="A210">
        <v>50209</v>
      </c>
      <c r="B210">
        <v>3017</v>
      </c>
      <c r="C210">
        <v>2007</v>
      </c>
      <c r="D210" s="7">
        <v>45962</v>
      </c>
      <c r="E210" t="s">
        <v>219</v>
      </c>
      <c r="F210" t="s">
        <v>202</v>
      </c>
      <c r="G210">
        <v>10</v>
      </c>
      <c r="H210" s="7">
        <v>45969</v>
      </c>
      <c r="I210" t="s">
        <v>209</v>
      </c>
    </row>
    <row r="211" spans="1:9">
      <c r="A211">
        <v>50210</v>
      </c>
      <c r="B211">
        <v>3017</v>
      </c>
      <c r="C211">
        <v>2007</v>
      </c>
      <c r="D211" s="7">
        <v>45989</v>
      </c>
      <c r="E211" t="s">
        <v>208</v>
      </c>
      <c r="F211" t="s">
        <v>202</v>
      </c>
      <c r="G211">
        <v>45</v>
      </c>
      <c r="H211" s="7">
        <v>46010</v>
      </c>
      <c r="I211" t="s">
        <v>203</v>
      </c>
    </row>
    <row r="212" spans="1:9">
      <c r="A212">
        <v>50211</v>
      </c>
      <c r="B212">
        <v>3017</v>
      </c>
      <c r="C212">
        <v>2007</v>
      </c>
      <c r="D212" s="7">
        <v>46142</v>
      </c>
      <c r="E212" t="s">
        <v>204</v>
      </c>
      <c r="F212" t="s">
        <v>214</v>
      </c>
      <c r="H212" s="7">
        <v>46145</v>
      </c>
      <c r="I212" t="s">
        <v>203</v>
      </c>
    </row>
    <row r="213" spans="1:9">
      <c r="A213">
        <v>50212</v>
      </c>
      <c r="B213">
        <v>3017</v>
      </c>
      <c r="C213">
        <v>2007</v>
      </c>
      <c r="D213" s="7">
        <v>46176</v>
      </c>
      <c r="E213" t="s">
        <v>219</v>
      </c>
      <c r="F213" t="s">
        <v>202</v>
      </c>
      <c r="G213">
        <v>30</v>
      </c>
      <c r="H213" s="7">
        <v>46190</v>
      </c>
      <c r="I213" t="s">
        <v>209</v>
      </c>
    </row>
    <row r="214" spans="1:9">
      <c r="A214">
        <v>50213</v>
      </c>
      <c r="B214">
        <v>3017</v>
      </c>
      <c r="C214">
        <v>2007</v>
      </c>
      <c r="D214" s="7">
        <v>46214</v>
      </c>
      <c r="E214" t="s">
        <v>208</v>
      </c>
      <c r="F214" t="s">
        <v>202</v>
      </c>
      <c r="G214">
        <v>90</v>
      </c>
      <c r="H214" s="7"/>
      <c r="I214" t="s">
        <v>217</v>
      </c>
    </row>
    <row r="215" spans="1:9">
      <c r="A215">
        <v>50214</v>
      </c>
      <c r="B215">
        <v>3018</v>
      </c>
      <c r="C215">
        <v>2005</v>
      </c>
      <c r="D215" s="7">
        <v>45543</v>
      </c>
      <c r="E215" t="s">
        <v>212</v>
      </c>
      <c r="F215" t="s">
        <v>213</v>
      </c>
      <c r="H215" s="7">
        <v>45573</v>
      </c>
      <c r="I215" t="s">
        <v>207</v>
      </c>
    </row>
    <row r="216" spans="1:9">
      <c r="A216">
        <v>50215</v>
      </c>
      <c r="B216">
        <v>3018</v>
      </c>
      <c r="C216">
        <v>2005</v>
      </c>
      <c r="D216" s="7">
        <v>45554</v>
      </c>
      <c r="E216" t="s">
        <v>212</v>
      </c>
      <c r="F216" t="s">
        <v>202</v>
      </c>
      <c r="G216">
        <v>30</v>
      </c>
      <c r="H216" s="7">
        <v>45575</v>
      </c>
      <c r="I216" t="s">
        <v>209</v>
      </c>
    </row>
    <row r="217" spans="1:9">
      <c r="A217">
        <v>50216</v>
      </c>
      <c r="B217">
        <v>3018</v>
      </c>
      <c r="C217">
        <v>2005</v>
      </c>
      <c r="D217" s="7">
        <v>45571</v>
      </c>
      <c r="E217" t="s">
        <v>212</v>
      </c>
      <c r="F217" t="s">
        <v>202</v>
      </c>
      <c r="G217">
        <v>10</v>
      </c>
      <c r="H217" s="7">
        <v>45585</v>
      </c>
      <c r="I217" t="s">
        <v>216</v>
      </c>
    </row>
    <row r="218" spans="1:9">
      <c r="A218">
        <v>50217</v>
      </c>
      <c r="B218">
        <v>3018</v>
      </c>
      <c r="C218">
        <v>2005</v>
      </c>
      <c r="D218" s="7">
        <v>45607</v>
      </c>
      <c r="E218" t="s">
        <v>210</v>
      </c>
      <c r="F218" t="s">
        <v>214</v>
      </c>
      <c r="H218" s="7">
        <v>45628</v>
      </c>
      <c r="I218" t="s">
        <v>216</v>
      </c>
    </row>
    <row r="219" spans="1:9">
      <c r="A219">
        <v>50218</v>
      </c>
      <c r="B219">
        <v>3018</v>
      </c>
      <c r="C219">
        <v>2005</v>
      </c>
      <c r="D219" s="7">
        <v>45613</v>
      </c>
      <c r="E219" t="s">
        <v>210</v>
      </c>
      <c r="F219" t="s">
        <v>214</v>
      </c>
      <c r="H219" s="7">
        <v>45643</v>
      </c>
      <c r="I219" t="s">
        <v>206</v>
      </c>
    </row>
    <row r="220" spans="1:9">
      <c r="A220">
        <v>50219</v>
      </c>
      <c r="B220">
        <v>3018</v>
      </c>
      <c r="C220">
        <v>2005</v>
      </c>
      <c r="D220" s="7">
        <v>45637</v>
      </c>
      <c r="E220" t="s">
        <v>201</v>
      </c>
      <c r="F220" t="s">
        <v>213</v>
      </c>
      <c r="H220" s="7">
        <v>45640</v>
      </c>
      <c r="I220" t="s">
        <v>203</v>
      </c>
    </row>
    <row r="221" spans="1:9">
      <c r="A221">
        <v>50220</v>
      </c>
      <c r="B221">
        <v>3018</v>
      </c>
      <c r="C221">
        <v>2005</v>
      </c>
      <c r="D221" s="7">
        <v>45669</v>
      </c>
      <c r="E221" t="s">
        <v>201</v>
      </c>
      <c r="F221" t="s">
        <v>202</v>
      </c>
      <c r="G221">
        <v>30</v>
      </c>
      <c r="H221" s="7">
        <v>45690</v>
      </c>
      <c r="I221" t="s">
        <v>216</v>
      </c>
    </row>
    <row r="222" spans="1:9">
      <c r="A222">
        <v>50221</v>
      </c>
      <c r="B222">
        <v>3018</v>
      </c>
      <c r="C222">
        <v>2005</v>
      </c>
      <c r="D222" s="7">
        <v>45684</v>
      </c>
      <c r="E222" t="s">
        <v>212</v>
      </c>
      <c r="F222" t="s">
        <v>202</v>
      </c>
      <c r="G222">
        <v>45</v>
      </c>
      <c r="H222" s="7">
        <v>45698</v>
      </c>
      <c r="I222" t="s">
        <v>217</v>
      </c>
    </row>
    <row r="223" spans="1:9">
      <c r="A223">
        <v>50222</v>
      </c>
      <c r="B223">
        <v>3019</v>
      </c>
      <c r="C223">
        <v>2015</v>
      </c>
      <c r="D223" s="7">
        <v>45218</v>
      </c>
      <c r="E223" t="s">
        <v>204</v>
      </c>
      <c r="F223" t="s">
        <v>202</v>
      </c>
      <c r="G223">
        <v>10</v>
      </c>
      <c r="H223" s="7">
        <v>45248</v>
      </c>
      <c r="I223" t="s">
        <v>211</v>
      </c>
    </row>
    <row r="224" spans="1:9">
      <c r="A224">
        <v>50223</v>
      </c>
      <c r="B224">
        <v>3019</v>
      </c>
      <c r="C224">
        <v>2015</v>
      </c>
      <c r="D224" s="7">
        <v>45219</v>
      </c>
      <c r="E224" t="s">
        <v>210</v>
      </c>
      <c r="F224" t="s">
        <v>202</v>
      </c>
      <c r="G224">
        <v>10</v>
      </c>
      <c r="H224" s="7">
        <v>45249</v>
      </c>
      <c r="I224" t="s">
        <v>207</v>
      </c>
    </row>
    <row r="225" spans="1:9">
      <c r="A225">
        <v>50224</v>
      </c>
      <c r="B225">
        <v>3019</v>
      </c>
      <c r="C225">
        <v>2015</v>
      </c>
      <c r="D225" s="7">
        <v>45244</v>
      </c>
      <c r="E225" t="s">
        <v>201</v>
      </c>
      <c r="F225" t="s">
        <v>213</v>
      </c>
      <c r="H225" s="7">
        <v>45247</v>
      </c>
      <c r="I225" t="s">
        <v>206</v>
      </c>
    </row>
    <row r="226" spans="1:9">
      <c r="A226">
        <v>50225</v>
      </c>
      <c r="B226">
        <v>3019</v>
      </c>
      <c r="C226">
        <v>2015</v>
      </c>
      <c r="D226" s="7">
        <v>45300</v>
      </c>
      <c r="E226" t="s">
        <v>208</v>
      </c>
      <c r="F226" t="s">
        <v>214</v>
      </c>
      <c r="H226" s="7">
        <v>45307</v>
      </c>
      <c r="I226" t="s">
        <v>216</v>
      </c>
    </row>
    <row r="227" spans="1:9">
      <c r="A227">
        <v>50226</v>
      </c>
      <c r="B227">
        <v>3019</v>
      </c>
      <c r="C227">
        <v>2015</v>
      </c>
      <c r="D227" s="7">
        <v>45363</v>
      </c>
      <c r="E227" t="s">
        <v>212</v>
      </c>
      <c r="F227" t="s">
        <v>202</v>
      </c>
      <c r="G227">
        <v>60</v>
      </c>
      <c r="H227" s="7">
        <v>45366</v>
      </c>
      <c r="I227" t="s">
        <v>216</v>
      </c>
    </row>
    <row r="228" spans="1:9">
      <c r="A228">
        <v>50227</v>
      </c>
      <c r="B228">
        <v>3019</v>
      </c>
      <c r="C228">
        <v>2015</v>
      </c>
      <c r="D228" s="7">
        <v>45385</v>
      </c>
      <c r="E228" t="s">
        <v>212</v>
      </c>
      <c r="F228" t="s">
        <v>214</v>
      </c>
      <c r="H228" s="7">
        <v>45415</v>
      </c>
      <c r="I228" t="s">
        <v>203</v>
      </c>
    </row>
    <row r="229" spans="1:9">
      <c r="A229">
        <v>50228</v>
      </c>
      <c r="B229">
        <v>3019</v>
      </c>
      <c r="C229">
        <v>2015</v>
      </c>
      <c r="D229" s="7">
        <v>45386</v>
      </c>
      <c r="E229" t="s">
        <v>210</v>
      </c>
      <c r="F229" t="s">
        <v>202</v>
      </c>
      <c r="G229">
        <v>30</v>
      </c>
      <c r="H229" s="7">
        <v>45400</v>
      </c>
      <c r="I229" t="s">
        <v>216</v>
      </c>
    </row>
    <row r="230" spans="1:9">
      <c r="A230">
        <v>50229</v>
      </c>
      <c r="B230">
        <v>3019</v>
      </c>
      <c r="C230">
        <v>2015</v>
      </c>
      <c r="D230" s="7">
        <v>45394</v>
      </c>
      <c r="E230" t="s">
        <v>212</v>
      </c>
      <c r="F230" t="s">
        <v>215</v>
      </c>
      <c r="G230">
        <v>15</v>
      </c>
      <c r="H230" s="7">
        <v>45397</v>
      </c>
      <c r="I230" t="s">
        <v>206</v>
      </c>
    </row>
    <row r="231" spans="1:9">
      <c r="A231">
        <v>50230</v>
      </c>
      <c r="B231">
        <v>3020</v>
      </c>
      <c r="C231">
        <v>2007</v>
      </c>
      <c r="D231" s="7">
        <v>45298</v>
      </c>
      <c r="E231" t="s">
        <v>208</v>
      </c>
      <c r="F231" t="s">
        <v>202</v>
      </c>
      <c r="G231">
        <v>45</v>
      </c>
      <c r="H231" s="7">
        <v>45312</v>
      </c>
      <c r="I231" t="s">
        <v>217</v>
      </c>
    </row>
    <row r="232" spans="1:9">
      <c r="A232">
        <v>50231</v>
      </c>
      <c r="B232">
        <v>3020</v>
      </c>
      <c r="C232">
        <v>2007</v>
      </c>
      <c r="D232" s="7">
        <v>45339</v>
      </c>
      <c r="E232" t="s">
        <v>201</v>
      </c>
      <c r="F232" t="s">
        <v>202</v>
      </c>
      <c r="G232">
        <v>90</v>
      </c>
      <c r="H232" s="7">
        <v>45342</v>
      </c>
      <c r="I232" t="s">
        <v>216</v>
      </c>
    </row>
    <row r="233" spans="1:9">
      <c r="A233">
        <v>50232</v>
      </c>
      <c r="B233">
        <v>3020</v>
      </c>
      <c r="C233">
        <v>2007</v>
      </c>
      <c r="D233" s="7">
        <v>45372</v>
      </c>
      <c r="E233" t="s">
        <v>201</v>
      </c>
      <c r="F233" t="s">
        <v>202</v>
      </c>
      <c r="G233">
        <v>45</v>
      </c>
      <c r="H233" s="7">
        <v>45375</v>
      </c>
      <c r="I233" t="s">
        <v>217</v>
      </c>
    </row>
    <row r="234" spans="1:9">
      <c r="A234">
        <v>50233</v>
      </c>
      <c r="B234">
        <v>3020</v>
      </c>
      <c r="C234">
        <v>2007</v>
      </c>
      <c r="D234" s="7">
        <v>45428</v>
      </c>
      <c r="E234" t="s">
        <v>219</v>
      </c>
      <c r="F234" t="s">
        <v>202</v>
      </c>
      <c r="G234">
        <v>45</v>
      </c>
      <c r="H234" s="7">
        <v>45442</v>
      </c>
      <c r="I234" t="s">
        <v>209</v>
      </c>
    </row>
    <row r="235" spans="1:9">
      <c r="A235">
        <v>50234</v>
      </c>
      <c r="B235">
        <v>3020</v>
      </c>
      <c r="C235">
        <v>2007</v>
      </c>
      <c r="D235" s="7">
        <v>45482</v>
      </c>
      <c r="E235" t="s">
        <v>212</v>
      </c>
      <c r="F235" t="s">
        <v>214</v>
      </c>
      <c r="H235" s="7">
        <v>45512</v>
      </c>
      <c r="I235" t="s">
        <v>217</v>
      </c>
    </row>
    <row r="236" spans="1:9">
      <c r="A236">
        <v>50235</v>
      </c>
      <c r="B236">
        <v>3020</v>
      </c>
      <c r="C236">
        <v>2007</v>
      </c>
      <c r="D236" s="7">
        <v>45502</v>
      </c>
      <c r="E236" t="s">
        <v>204</v>
      </c>
      <c r="F236" t="s">
        <v>202</v>
      </c>
      <c r="G236">
        <v>15</v>
      </c>
      <c r="H236" s="7">
        <v>45509</v>
      </c>
      <c r="I236" t="s">
        <v>207</v>
      </c>
    </row>
    <row r="237" spans="1:9">
      <c r="A237">
        <v>50236</v>
      </c>
      <c r="B237">
        <v>3020</v>
      </c>
      <c r="C237">
        <v>2007</v>
      </c>
      <c r="D237" s="7">
        <v>45558</v>
      </c>
      <c r="E237" t="s">
        <v>204</v>
      </c>
      <c r="F237" t="s">
        <v>202</v>
      </c>
      <c r="G237">
        <v>60</v>
      </c>
      <c r="H237" s="7">
        <v>45572</v>
      </c>
      <c r="I237" t="s">
        <v>207</v>
      </c>
    </row>
    <row r="238" spans="1:9">
      <c r="A238">
        <v>50237</v>
      </c>
      <c r="B238">
        <v>3020</v>
      </c>
      <c r="C238">
        <v>2007</v>
      </c>
      <c r="D238" s="7">
        <v>45589</v>
      </c>
      <c r="E238" t="s">
        <v>219</v>
      </c>
      <c r="F238" t="s">
        <v>213</v>
      </c>
      <c r="H238" s="7">
        <v>45610</v>
      </c>
      <c r="I238" t="s">
        <v>207</v>
      </c>
    </row>
    <row r="239" spans="1:9">
      <c r="A239">
        <v>50238</v>
      </c>
      <c r="B239">
        <v>3020</v>
      </c>
      <c r="C239">
        <v>2007</v>
      </c>
      <c r="D239" s="7">
        <v>45645</v>
      </c>
      <c r="E239" t="s">
        <v>212</v>
      </c>
      <c r="F239" t="s">
        <v>205</v>
      </c>
      <c r="H239" s="7"/>
      <c r="I239" t="s">
        <v>207</v>
      </c>
    </row>
    <row r="240" spans="1:9">
      <c r="A240">
        <v>50239</v>
      </c>
      <c r="B240">
        <v>3020</v>
      </c>
      <c r="C240">
        <v>2007</v>
      </c>
      <c r="D240" s="7">
        <v>45657</v>
      </c>
      <c r="E240" t="s">
        <v>201</v>
      </c>
      <c r="F240" t="s">
        <v>202</v>
      </c>
      <c r="G240">
        <v>45</v>
      </c>
      <c r="H240" s="7">
        <v>45671</v>
      </c>
      <c r="I240" t="s">
        <v>206</v>
      </c>
    </row>
    <row r="241" spans="1:9">
      <c r="A241">
        <v>50240</v>
      </c>
      <c r="B241">
        <v>3020</v>
      </c>
      <c r="C241">
        <v>2007</v>
      </c>
      <c r="D241" s="7">
        <v>45658</v>
      </c>
      <c r="E241" t="s">
        <v>201</v>
      </c>
      <c r="F241" t="s">
        <v>202</v>
      </c>
      <c r="G241">
        <v>60</v>
      </c>
      <c r="H241" s="7">
        <v>45661</v>
      </c>
      <c r="I241" t="s">
        <v>209</v>
      </c>
    </row>
    <row r="242" spans="1:9">
      <c r="A242">
        <v>50241</v>
      </c>
      <c r="B242">
        <v>3020</v>
      </c>
      <c r="C242">
        <v>2007</v>
      </c>
      <c r="D242" s="7">
        <v>45698</v>
      </c>
      <c r="E242" t="s">
        <v>204</v>
      </c>
      <c r="F242" t="s">
        <v>202</v>
      </c>
      <c r="G242">
        <v>90</v>
      </c>
      <c r="H242" s="7">
        <v>45705</v>
      </c>
      <c r="I242" t="s">
        <v>211</v>
      </c>
    </row>
    <row r="243" spans="1:9">
      <c r="A243">
        <v>50242</v>
      </c>
      <c r="B243">
        <v>3020</v>
      </c>
      <c r="C243">
        <v>2007</v>
      </c>
      <c r="D243" s="7">
        <v>45702</v>
      </c>
      <c r="E243" t="s">
        <v>201</v>
      </c>
      <c r="F243" t="s">
        <v>202</v>
      </c>
      <c r="G243">
        <v>60</v>
      </c>
      <c r="H243" s="7">
        <v>45716</v>
      </c>
      <c r="I243" t="s">
        <v>217</v>
      </c>
    </row>
    <row r="244" spans="1:9">
      <c r="A244">
        <v>50243</v>
      </c>
      <c r="B244">
        <v>3020</v>
      </c>
      <c r="C244">
        <v>2007</v>
      </c>
      <c r="D244" s="7">
        <v>45752</v>
      </c>
      <c r="E244" t="s">
        <v>212</v>
      </c>
      <c r="F244" t="s">
        <v>215</v>
      </c>
      <c r="G244">
        <v>20</v>
      </c>
      <c r="H244" s="7">
        <v>45759</v>
      </c>
      <c r="I244" t="s">
        <v>203</v>
      </c>
    </row>
    <row r="245" spans="1:9">
      <c r="A245">
        <v>50244</v>
      </c>
      <c r="B245">
        <v>3020</v>
      </c>
      <c r="C245">
        <v>2007</v>
      </c>
      <c r="D245" s="7">
        <v>45788</v>
      </c>
      <c r="E245" t="s">
        <v>204</v>
      </c>
      <c r="F245" t="s">
        <v>215</v>
      </c>
      <c r="G245">
        <v>20</v>
      </c>
      <c r="H245" s="7">
        <v>45809</v>
      </c>
      <c r="I245" t="s">
        <v>203</v>
      </c>
    </row>
    <row r="246" spans="1:9">
      <c r="A246">
        <v>50245</v>
      </c>
      <c r="B246">
        <v>3020</v>
      </c>
      <c r="C246">
        <v>2007</v>
      </c>
      <c r="D246" s="7">
        <v>45869</v>
      </c>
      <c r="E246" t="s">
        <v>201</v>
      </c>
      <c r="F246" t="s">
        <v>214</v>
      </c>
      <c r="H246" s="7">
        <v>45899</v>
      </c>
      <c r="I246" t="s">
        <v>211</v>
      </c>
    </row>
    <row r="247" spans="1:9">
      <c r="A247">
        <v>50246</v>
      </c>
      <c r="B247">
        <v>3020</v>
      </c>
      <c r="C247">
        <v>2007</v>
      </c>
      <c r="D247" s="7">
        <v>45982</v>
      </c>
      <c r="E247" t="s">
        <v>201</v>
      </c>
      <c r="F247" t="s">
        <v>205</v>
      </c>
      <c r="H247" s="7"/>
      <c r="I247" t="s">
        <v>217</v>
      </c>
    </row>
    <row r="248" spans="1:9">
      <c r="A248">
        <v>50247</v>
      </c>
      <c r="B248">
        <v>3020</v>
      </c>
      <c r="C248">
        <v>2007</v>
      </c>
      <c r="D248" s="7">
        <v>46187</v>
      </c>
      <c r="E248" t="s">
        <v>201</v>
      </c>
      <c r="F248" t="s">
        <v>213</v>
      </c>
      <c r="H248" s="7">
        <v>46190</v>
      </c>
      <c r="I248" t="s">
        <v>207</v>
      </c>
    </row>
    <row r="249" spans="1:9">
      <c r="A249">
        <v>50248</v>
      </c>
      <c r="B249">
        <v>3020</v>
      </c>
      <c r="C249">
        <v>2007</v>
      </c>
      <c r="D249" s="7">
        <v>46189</v>
      </c>
      <c r="E249" t="s">
        <v>210</v>
      </c>
      <c r="F249" t="s">
        <v>213</v>
      </c>
      <c r="H249" s="7">
        <v>46203</v>
      </c>
      <c r="I249" t="s">
        <v>206</v>
      </c>
    </row>
    <row r="250" spans="1:9">
      <c r="A250">
        <v>50249</v>
      </c>
      <c r="B250">
        <v>3021</v>
      </c>
      <c r="C250">
        <v>2002</v>
      </c>
      <c r="D250" s="7">
        <v>45479</v>
      </c>
      <c r="E250" t="s">
        <v>212</v>
      </c>
      <c r="F250" t="s">
        <v>202</v>
      </c>
      <c r="G250">
        <v>20</v>
      </c>
      <c r="H250" s="7">
        <v>45482</v>
      </c>
      <c r="I250" t="s">
        <v>217</v>
      </c>
    </row>
    <row r="251" spans="1:9">
      <c r="A251">
        <v>50250</v>
      </c>
      <c r="B251">
        <v>3021</v>
      </c>
      <c r="C251">
        <v>2002</v>
      </c>
      <c r="D251" s="7">
        <v>45489</v>
      </c>
      <c r="E251" t="s">
        <v>219</v>
      </c>
      <c r="F251" t="s">
        <v>218</v>
      </c>
      <c r="H251" s="7"/>
      <c r="I251" t="s">
        <v>217</v>
      </c>
    </row>
    <row r="252" spans="1:9">
      <c r="A252">
        <v>50251</v>
      </c>
      <c r="B252">
        <v>3021</v>
      </c>
      <c r="C252">
        <v>2002</v>
      </c>
      <c r="D252" s="7">
        <v>45517</v>
      </c>
      <c r="E252" t="s">
        <v>212</v>
      </c>
      <c r="F252" t="s">
        <v>202</v>
      </c>
      <c r="G252">
        <v>20</v>
      </c>
      <c r="H252" s="7">
        <v>45538</v>
      </c>
      <c r="I252" t="s">
        <v>209</v>
      </c>
    </row>
    <row r="253" spans="1:9">
      <c r="A253">
        <v>50252</v>
      </c>
      <c r="B253">
        <v>3021</v>
      </c>
      <c r="C253">
        <v>2002</v>
      </c>
      <c r="D253" s="7">
        <v>45536</v>
      </c>
      <c r="E253" t="s">
        <v>210</v>
      </c>
      <c r="F253" t="s">
        <v>214</v>
      </c>
      <c r="H253" s="7">
        <v>45557</v>
      </c>
      <c r="I253" t="s">
        <v>207</v>
      </c>
    </row>
    <row r="254" spans="1:9">
      <c r="A254">
        <v>50253</v>
      </c>
      <c r="B254">
        <v>3021</v>
      </c>
      <c r="C254">
        <v>2002</v>
      </c>
      <c r="D254" s="7">
        <v>45536</v>
      </c>
      <c r="E254" t="s">
        <v>201</v>
      </c>
      <c r="F254" t="s">
        <v>202</v>
      </c>
      <c r="G254">
        <v>90</v>
      </c>
      <c r="H254" s="7">
        <v>45539</v>
      </c>
      <c r="I254" t="s">
        <v>217</v>
      </c>
    </row>
    <row r="255" spans="1:9">
      <c r="A255">
        <v>50254</v>
      </c>
      <c r="B255">
        <v>3021</v>
      </c>
      <c r="C255">
        <v>2002</v>
      </c>
      <c r="D255" s="7">
        <v>45568</v>
      </c>
      <c r="E255" t="s">
        <v>212</v>
      </c>
      <c r="F255" t="s">
        <v>202</v>
      </c>
      <c r="G255">
        <v>90</v>
      </c>
      <c r="H255" s="7">
        <v>45575</v>
      </c>
      <c r="I255" t="s">
        <v>211</v>
      </c>
    </row>
    <row r="256" spans="1:9">
      <c r="A256">
        <v>50255</v>
      </c>
      <c r="B256">
        <v>3021</v>
      </c>
      <c r="C256">
        <v>2002</v>
      </c>
      <c r="D256" s="7">
        <v>45638</v>
      </c>
      <c r="E256" t="s">
        <v>204</v>
      </c>
      <c r="F256" t="s">
        <v>213</v>
      </c>
      <c r="H256" s="7">
        <v>45668</v>
      </c>
      <c r="I256" t="s">
        <v>203</v>
      </c>
    </row>
    <row r="257" spans="1:9">
      <c r="A257">
        <v>50256</v>
      </c>
      <c r="B257">
        <v>3021</v>
      </c>
      <c r="C257">
        <v>2002</v>
      </c>
      <c r="D257" s="7">
        <v>45700</v>
      </c>
      <c r="E257" t="s">
        <v>201</v>
      </c>
      <c r="F257" t="s">
        <v>215</v>
      </c>
      <c r="G257">
        <v>30</v>
      </c>
      <c r="H257" s="7">
        <v>45707</v>
      </c>
      <c r="I257" t="s">
        <v>217</v>
      </c>
    </row>
    <row r="258" spans="1:9">
      <c r="A258">
        <v>50257</v>
      </c>
      <c r="B258">
        <v>3021</v>
      </c>
      <c r="C258">
        <v>2002</v>
      </c>
      <c r="D258" s="7">
        <v>45710</v>
      </c>
      <c r="E258" t="s">
        <v>212</v>
      </c>
      <c r="F258" t="s">
        <v>214</v>
      </c>
      <c r="H258" s="7">
        <v>45740</v>
      </c>
      <c r="I258" t="s">
        <v>211</v>
      </c>
    </row>
    <row r="259" spans="1:9">
      <c r="A259">
        <v>50258</v>
      </c>
      <c r="B259">
        <v>3021</v>
      </c>
      <c r="C259">
        <v>2002</v>
      </c>
      <c r="D259" s="7">
        <v>45761</v>
      </c>
      <c r="E259" t="s">
        <v>219</v>
      </c>
      <c r="F259" t="s">
        <v>205</v>
      </c>
      <c r="H259" s="7"/>
      <c r="I259" t="s">
        <v>209</v>
      </c>
    </row>
    <row r="260" spans="1:9">
      <c r="A260">
        <v>50259</v>
      </c>
      <c r="B260">
        <v>3021</v>
      </c>
      <c r="C260">
        <v>2002</v>
      </c>
      <c r="D260" s="7">
        <v>45797</v>
      </c>
      <c r="E260" t="s">
        <v>212</v>
      </c>
      <c r="F260" t="s">
        <v>202</v>
      </c>
      <c r="G260">
        <v>20</v>
      </c>
      <c r="H260" s="7">
        <v>45804</v>
      </c>
      <c r="I260" t="s">
        <v>211</v>
      </c>
    </row>
    <row r="261" spans="1:9">
      <c r="A261">
        <v>50260</v>
      </c>
      <c r="B261">
        <v>3021</v>
      </c>
      <c r="C261">
        <v>2002</v>
      </c>
      <c r="D261" s="7">
        <v>45924</v>
      </c>
      <c r="E261" t="s">
        <v>212</v>
      </c>
      <c r="F261" t="s">
        <v>202</v>
      </c>
      <c r="G261">
        <v>15</v>
      </c>
      <c r="H261" s="7">
        <v>45945</v>
      </c>
      <c r="I261" t="s">
        <v>209</v>
      </c>
    </row>
    <row r="262" spans="1:9">
      <c r="A262">
        <v>50261</v>
      </c>
      <c r="B262">
        <v>3021</v>
      </c>
      <c r="C262">
        <v>2002</v>
      </c>
      <c r="D262" s="7">
        <v>45962</v>
      </c>
      <c r="E262" t="s">
        <v>212</v>
      </c>
      <c r="F262" t="s">
        <v>213</v>
      </c>
      <c r="H262" s="7">
        <v>45965</v>
      </c>
      <c r="I262" t="s">
        <v>211</v>
      </c>
    </row>
    <row r="263" spans="1:9">
      <c r="A263">
        <v>50262</v>
      </c>
      <c r="B263">
        <v>3021</v>
      </c>
      <c r="C263">
        <v>2002</v>
      </c>
      <c r="D263" s="7">
        <v>46038</v>
      </c>
      <c r="E263" t="s">
        <v>208</v>
      </c>
      <c r="F263" t="s">
        <v>202</v>
      </c>
      <c r="G263">
        <v>30</v>
      </c>
      <c r="H263" s="7">
        <v>46052</v>
      </c>
      <c r="I263" t="s">
        <v>206</v>
      </c>
    </row>
    <row r="264" spans="1:9">
      <c r="A264">
        <v>50263</v>
      </c>
      <c r="B264">
        <v>3021</v>
      </c>
      <c r="C264">
        <v>2002</v>
      </c>
      <c r="D264" s="7">
        <v>46058</v>
      </c>
      <c r="E264" t="s">
        <v>204</v>
      </c>
      <c r="F264" t="s">
        <v>202</v>
      </c>
      <c r="G264">
        <v>15</v>
      </c>
      <c r="H264" s="7">
        <v>46061</v>
      </c>
      <c r="I264" t="s">
        <v>206</v>
      </c>
    </row>
    <row r="265" spans="1:9">
      <c r="A265">
        <v>50264</v>
      </c>
      <c r="B265">
        <v>3021</v>
      </c>
      <c r="C265">
        <v>2002</v>
      </c>
      <c r="D265" s="7">
        <v>46058</v>
      </c>
      <c r="E265" t="s">
        <v>219</v>
      </c>
      <c r="F265" t="s">
        <v>202</v>
      </c>
      <c r="G265">
        <v>90</v>
      </c>
      <c r="H265" s="7">
        <v>46088</v>
      </c>
      <c r="I265" t="s">
        <v>206</v>
      </c>
    </row>
    <row r="266" spans="1:9">
      <c r="A266">
        <v>50265</v>
      </c>
      <c r="B266">
        <v>3021</v>
      </c>
      <c r="C266">
        <v>2002</v>
      </c>
      <c r="D266" s="7">
        <v>46107</v>
      </c>
      <c r="E266" t="s">
        <v>212</v>
      </c>
      <c r="F266" t="s">
        <v>214</v>
      </c>
      <c r="H266" s="7">
        <v>46121</v>
      </c>
      <c r="I266" t="s">
        <v>209</v>
      </c>
    </row>
    <row r="267" spans="1:9">
      <c r="A267">
        <v>50266</v>
      </c>
      <c r="B267">
        <v>3021</v>
      </c>
      <c r="C267">
        <v>2002</v>
      </c>
      <c r="D267" s="7">
        <v>46204</v>
      </c>
      <c r="E267" t="s">
        <v>201</v>
      </c>
      <c r="F267" t="s">
        <v>218</v>
      </c>
      <c r="H267" s="7"/>
      <c r="I267" t="s">
        <v>209</v>
      </c>
    </row>
    <row r="268" spans="1:9">
      <c r="A268">
        <v>50267</v>
      </c>
      <c r="B268">
        <v>3022</v>
      </c>
      <c r="C268">
        <v>2014</v>
      </c>
      <c r="D268" s="7">
        <v>45761</v>
      </c>
      <c r="E268" t="s">
        <v>212</v>
      </c>
      <c r="F268" t="s">
        <v>202</v>
      </c>
      <c r="G268">
        <v>30</v>
      </c>
      <c r="H268" s="7">
        <v>45791</v>
      </c>
      <c r="I268" t="s">
        <v>209</v>
      </c>
    </row>
    <row r="269" spans="1:9">
      <c r="A269">
        <v>50268</v>
      </c>
      <c r="B269">
        <v>3022</v>
      </c>
      <c r="C269">
        <v>2014</v>
      </c>
      <c r="D269" s="7">
        <v>45776</v>
      </c>
      <c r="E269" t="s">
        <v>210</v>
      </c>
      <c r="F269" t="s">
        <v>218</v>
      </c>
      <c r="H269" s="7"/>
      <c r="I269" t="s">
        <v>206</v>
      </c>
    </row>
    <row r="270" spans="1:9">
      <c r="A270">
        <v>50269</v>
      </c>
      <c r="B270">
        <v>3022</v>
      </c>
      <c r="C270">
        <v>2014</v>
      </c>
      <c r="D270" s="7">
        <v>45789</v>
      </c>
      <c r="E270" t="s">
        <v>219</v>
      </c>
      <c r="F270" t="s">
        <v>202</v>
      </c>
      <c r="G270">
        <v>45</v>
      </c>
      <c r="H270" s="7">
        <v>45792</v>
      </c>
      <c r="I270" t="s">
        <v>211</v>
      </c>
    </row>
    <row r="271" spans="1:9">
      <c r="A271">
        <v>50270</v>
      </c>
      <c r="B271">
        <v>3022</v>
      </c>
      <c r="C271">
        <v>2014</v>
      </c>
      <c r="D271" s="7">
        <v>45791</v>
      </c>
      <c r="E271" t="s">
        <v>212</v>
      </c>
      <c r="F271" t="s">
        <v>214</v>
      </c>
      <c r="H271" s="7">
        <v>45798</v>
      </c>
      <c r="I271" t="s">
        <v>207</v>
      </c>
    </row>
    <row r="272" spans="1:9">
      <c r="A272">
        <v>50271</v>
      </c>
      <c r="B272">
        <v>3022</v>
      </c>
      <c r="C272">
        <v>2014</v>
      </c>
      <c r="D272" s="7">
        <v>45797</v>
      </c>
      <c r="E272" t="s">
        <v>212</v>
      </c>
      <c r="F272" t="s">
        <v>202</v>
      </c>
      <c r="G272">
        <v>15</v>
      </c>
      <c r="H272" s="7">
        <v>45818</v>
      </c>
      <c r="I272" t="s">
        <v>206</v>
      </c>
    </row>
    <row r="273" spans="1:9">
      <c r="A273">
        <v>50272</v>
      </c>
      <c r="B273">
        <v>3022</v>
      </c>
      <c r="C273">
        <v>2014</v>
      </c>
      <c r="D273" s="7">
        <v>45848</v>
      </c>
      <c r="E273" t="s">
        <v>219</v>
      </c>
      <c r="F273" t="s">
        <v>202</v>
      </c>
      <c r="G273">
        <v>30</v>
      </c>
      <c r="H273" s="7">
        <v>45862</v>
      </c>
      <c r="I273" t="s">
        <v>203</v>
      </c>
    </row>
    <row r="274" spans="1:9">
      <c r="A274">
        <v>50273</v>
      </c>
      <c r="B274">
        <v>3022</v>
      </c>
      <c r="C274">
        <v>2014</v>
      </c>
      <c r="D274" s="7">
        <v>45910</v>
      </c>
      <c r="E274" t="s">
        <v>212</v>
      </c>
      <c r="F274" t="s">
        <v>214</v>
      </c>
      <c r="H274" s="7">
        <v>45940</v>
      </c>
      <c r="I274" t="s">
        <v>209</v>
      </c>
    </row>
    <row r="275" spans="1:9">
      <c r="A275">
        <v>50274</v>
      </c>
      <c r="B275">
        <v>3022</v>
      </c>
      <c r="C275">
        <v>2014</v>
      </c>
      <c r="D275" s="7">
        <v>45941</v>
      </c>
      <c r="E275" t="s">
        <v>219</v>
      </c>
      <c r="F275" t="s">
        <v>202</v>
      </c>
      <c r="G275">
        <v>30</v>
      </c>
      <c r="H275" s="7">
        <v>45948</v>
      </c>
      <c r="I275" t="s">
        <v>203</v>
      </c>
    </row>
    <row r="276" spans="1:9">
      <c r="A276">
        <v>50275</v>
      </c>
      <c r="B276">
        <v>3022</v>
      </c>
      <c r="C276">
        <v>2014</v>
      </c>
      <c r="D276" s="7">
        <v>45944</v>
      </c>
      <c r="E276" t="s">
        <v>212</v>
      </c>
      <c r="F276" t="s">
        <v>202</v>
      </c>
      <c r="G276">
        <v>15</v>
      </c>
      <c r="H276" s="7">
        <v>45951</v>
      </c>
      <c r="I276" t="s">
        <v>211</v>
      </c>
    </row>
    <row r="277" spans="1:9">
      <c r="A277">
        <v>50276</v>
      </c>
      <c r="B277">
        <v>3022</v>
      </c>
      <c r="C277">
        <v>2014</v>
      </c>
      <c r="D277" s="7">
        <v>45952</v>
      </c>
      <c r="E277" t="s">
        <v>212</v>
      </c>
      <c r="F277" t="s">
        <v>202</v>
      </c>
      <c r="G277">
        <v>60</v>
      </c>
      <c r="H277" s="7">
        <v>45959</v>
      </c>
      <c r="I277" t="s">
        <v>203</v>
      </c>
    </row>
    <row r="278" spans="1:9">
      <c r="A278">
        <v>50277</v>
      </c>
      <c r="B278">
        <v>3022</v>
      </c>
      <c r="C278">
        <v>2014</v>
      </c>
      <c r="D278" s="7">
        <v>45956</v>
      </c>
      <c r="E278" t="s">
        <v>219</v>
      </c>
      <c r="F278" t="s">
        <v>218</v>
      </c>
      <c r="H278" s="7"/>
      <c r="I278" t="s">
        <v>211</v>
      </c>
    </row>
    <row r="279" spans="1:9">
      <c r="A279">
        <v>50278</v>
      </c>
      <c r="B279">
        <v>3023</v>
      </c>
      <c r="C279">
        <v>2012</v>
      </c>
      <c r="D279" s="7">
        <v>45206</v>
      </c>
      <c r="E279" t="s">
        <v>201</v>
      </c>
      <c r="F279" t="s">
        <v>202</v>
      </c>
      <c r="G279">
        <v>10</v>
      </c>
      <c r="H279" s="7">
        <v>45227</v>
      </c>
      <c r="I279" t="s">
        <v>209</v>
      </c>
    </row>
    <row r="280" spans="1:9">
      <c r="A280">
        <v>50279</v>
      </c>
      <c r="B280">
        <v>3023</v>
      </c>
      <c r="C280">
        <v>2012</v>
      </c>
      <c r="D280" s="7">
        <v>45266</v>
      </c>
      <c r="E280" t="s">
        <v>212</v>
      </c>
      <c r="F280" t="s">
        <v>202</v>
      </c>
      <c r="G280">
        <v>15</v>
      </c>
      <c r="H280" s="7">
        <v>45296</v>
      </c>
      <c r="I280" t="s">
        <v>207</v>
      </c>
    </row>
    <row r="281" spans="1:9">
      <c r="A281">
        <v>50280</v>
      </c>
      <c r="B281">
        <v>3023</v>
      </c>
      <c r="C281">
        <v>2012</v>
      </c>
      <c r="D281" s="7">
        <v>45283</v>
      </c>
      <c r="E281" t="s">
        <v>210</v>
      </c>
      <c r="F281" t="s">
        <v>215</v>
      </c>
      <c r="G281">
        <v>60</v>
      </c>
      <c r="H281" s="7">
        <v>45297</v>
      </c>
      <c r="I281" t="s">
        <v>217</v>
      </c>
    </row>
    <row r="282" spans="1:9">
      <c r="A282">
        <v>50281</v>
      </c>
      <c r="B282">
        <v>3023</v>
      </c>
      <c r="C282">
        <v>2012</v>
      </c>
      <c r="D282" s="7">
        <v>45371</v>
      </c>
      <c r="E282" t="s">
        <v>210</v>
      </c>
      <c r="F282" t="s">
        <v>214</v>
      </c>
      <c r="H282" s="7">
        <v>45401</v>
      </c>
      <c r="I282" t="s">
        <v>206</v>
      </c>
    </row>
    <row r="283" spans="1:9">
      <c r="A283">
        <v>50282</v>
      </c>
      <c r="B283">
        <v>3023</v>
      </c>
      <c r="C283">
        <v>2012</v>
      </c>
      <c r="D283" s="7">
        <v>45438</v>
      </c>
      <c r="E283" t="s">
        <v>212</v>
      </c>
      <c r="F283" t="s">
        <v>213</v>
      </c>
      <c r="H283" s="7">
        <v>45441</v>
      </c>
      <c r="I283" t="s">
        <v>209</v>
      </c>
    </row>
    <row r="284" spans="1:9">
      <c r="A284">
        <v>50283</v>
      </c>
      <c r="B284">
        <v>3023</v>
      </c>
      <c r="C284">
        <v>2012</v>
      </c>
      <c r="D284" s="7">
        <v>45472</v>
      </c>
      <c r="E284" t="s">
        <v>210</v>
      </c>
      <c r="F284" t="s">
        <v>215</v>
      </c>
      <c r="G284">
        <v>10</v>
      </c>
      <c r="H284" s="7">
        <v>45493</v>
      </c>
      <c r="I284" t="s">
        <v>209</v>
      </c>
    </row>
    <row r="285" spans="1:9">
      <c r="A285">
        <v>50284</v>
      </c>
      <c r="B285">
        <v>3023</v>
      </c>
      <c r="C285">
        <v>2012</v>
      </c>
      <c r="D285" s="7">
        <v>45787</v>
      </c>
      <c r="E285" t="s">
        <v>204</v>
      </c>
      <c r="F285" t="s">
        <v>214</v>
      </c>
      <c r="H285" s="7">
        <v>45801</v>
      </c>
      <c r="I285" t="s">
        <v>216</v>
      </c>
    </row>
    <row r="286" spans="1:9">
      <c r="A286">
        <v>50285</v>
      </c>
      <c r="B286">
        <v>3023</v>
      </c>
      <c r="C286">
        <v>2012</v>
      </c>
      <c r="D286" s="7">
        <v>45811</v>
      </c>
      <c r="E286" t="s">
        <v>210</v>
      </c>
      <c r="F286" t="s">
        <v>215</v>
      </c>
      <c r="G286">
        <v>30</v>
      </c>
      <c r="H286" s="7">
        <v>45814</v>
      </c>
      <c r="I286" t="s">
        <v>206</v>
      </c>
    </row>
    <row r="287" spans="1:9">
      <c r="A287">
        <v>50286</v>
      </c>
      <c r="B287">
        <v>3023</v>
      </c>
      <c r="C287">
        <v>2012</v>
      </c>
      <c r="D287" s="7">
        <v>45887</v>
      </c>
      <c r="E287" t="s">
        <v>212</v>
      </c>
      <c r="F287" t="s">
        <v>202</v>
      </c>
      <c r="G287">
        <v>60</v>
      </c>
      <c r="H287" s="7">
        <v>45908</v>
      </c>
      <c r="I287" t="s">
        <v>217</v>
      </c>
    </row>
    <row r="288" spans="1:9">
      <c r="A288">
        <v>50287</v>
      </c>
      <c r="B288">
        <v>3023</v>
      </c>
      <c r="C288">
        <v>2012</v>
      </c>
      <c r="D288" s="7">
        <v>45902</v>
      </c>
      <c r="E288" t="s">
        <v>212</v>
      </c>
      <c r="F288" t="s">
        <v>218</v>
      </c>
      <c r="H288" s="7"/>
      <c r="I288" t="s">
        <v>203</v>
      </c>
    </row>
    <row r="289" spans="1:9">
      <c r="A289">
        <v>50288</v>
      </c>
      <c r="B289">
        <v>3023</v>
      </c>
      <c r="C289">
        <v>2012</v>
      </c>
      <c r="D289" s="7">
        <v>45911</v>
      </c>
      <c r="E289" t="s">
        <v>210</v>
      </c>
      <c r="F289" t="s">
        <v>218</v>
      </c>
      <c r="H289" s="7"/>
      <c r="I289" t="s">
        <v>203</v>
      </c>
    </row>
    <row r="290" spans="1:9">
      <c r="A290">
        <v>50289</v>
      </c>
      <c r="B290">
        <v>3023</v>
      </c>
      <c r="C290">
        <v>2012</v>
      </c>
      <c r="D290" s="7">
        <v>46020</v>
      </c>
      <c r="E290" t="s">
        <v>201</v>
      </c>
      <c r="F290" t="s">
        <v>202</v>
      </c>
      <c r="G290">
        <v>45</v>
      </c>
      <c r="H290" s="7">
        <v>46034</v>
      </c>
      <c r="I290" t="s">
        <v>216</v>
      </c>
    </row>
    <row r="291" spans="1:9">
      <c r="A291">
        <v>50290</v>
      </c>
      <c r="B291">
        <v>3023</v>
      </c>
      <c r="C291">
        <v>2012</v>
      </c>
      <c r="D291" s="7">
        <v>46048</v>
      </c>
      <c r="E291" t="s">
        <v>201</v>
      </c>
      <c r="F291" t="s">
        <v>213</v>
      </c>
      <c r="H291" s="7">
        <v>46051</v>
      </c>
      <c r="I291" t="s">
        <v>207</v>
      </c>
    </row>
    <row r="292" spans="1:9">
      <c r="A292">
        <v>50291</v>
      </c>
      <c r="B292">
        <v>3023</v>
      </c>
      <c r="C292">
        <v>2012</v>
      </c>
      <c r="D292" s="7">
        <v>46055</v>
      </c>
      <c r="E292" t="s">
        <v>204</v>
      </c>
      <c r="F292" t="s">
        <v>213</v>
      </c>
      <c r="H292" s="7">
        <v>46062</v>
      </c>
      <c r="I292" t="s">
        <v>207</v>
      </c>
    </row>
    <row r="293" spans="1:9">
      <c r="A293">
        <v>50292</v>
      </c>
      <c r="B293">
        <v>3023</v>
      </c>
      <c r="C293">
        <v>2012</v>
      </c>
      <c r="D293" s="7">
        <v>46117</v>
      </c>
      <c r="E293" t="s">
        <v>204</v>
      </c>
      <c r="F293" t="s">
        <v>202</v>
      </c>
      <c r="G293">
        <v>60</v>
      </c>
      <c r="H293" s="7">
        <v>46138</v>
      </c>
      <c r="I293" t="s">
        <v>216</v>
      </c>
    </row>
    <row r="294" spans="1:9">
      <c r="A294">
        <v>50293</v>
      </c>
      <c r="B294">
        <v>3023</v>
      </c>
      <c r="C294">
        <v>2012</v>
      </c>
      <c r="D294" s="7">
        <v>46193</v>
      </c>
      <c r="E294" t="s">
        <v>219</v>
      </c>
      <c r="F294" t="s">
        <v>205</v>
      </c>
      <c r="H294" s="7"/>
      <c r="I294" t="s">
        <v>207</v>
      </c>
    </row>
    <row r="295" spans="1:9">
      <c r="A295">
        <v>50294</v>
      </c>
      <c r="B295">
        <v>3024</v>
      </c>
      <c r="C295">
        <v>2005</v>
      </c>
      <c r="D295" s="7">
        <v>45792</v>
      </c>
      <c r="E295" t="s">
        <v>208</v>
      </c>
      <c r="F295" t="s">
        <v>213</v>
      </c>
      <c r="H295" s="7">
        <v>45813</v>
      </c>
      <c r="I295" t="s">
        <v>206</v>
      </c>
    </row>
    <row r="296" spans="1:9">
      <c r="A296">
        <v>50295</v>
      </c>
      <c r="B296">
        <v>3024</v>
      </c>
      <c r="C296">
        <v>2005</v>
      </c>
      <c r="D296" s="7">
        <v>46045</v>
      </c>
      <c r="E296" t="s">
        <v>201</v>
      </c>
      <c r="F296" t="s">
        <v>215</v>
      </c>
      <c r="G296">
        <v>90</v>
      </c>
      <c r="H296" s="7">
        <v>46059</v>
      </c>
      <c r="I296" t="s">
        <v>217</v>
      </c>
    </row>
    <row r="297" spans="1:9">
      <c r="A297">
        <v>50296</v>
      </c>
      <c r="B297">
        <v>3024</v>
      </c>
      <c r="C297">
        <v>2005</v>
      </c>
      <c r="D297" s="7">
        <v>46066</v>
      </c>
      <c r="E297" t="s">
        <v>204</v>
      </c>
      <c r="F297" t="s">
        <v>202</v>
      </c>
      <c r="G297">
        <v>30</v>
      </c>
      <c r="H297" s="7">
        <v>46096</v>
      </c>
      <c r="I297" t="s">
        <v>216</v>
      </c>
    </row>
    <row r="298" spans="1:9">
      <c r="A298">
        <v>50297</v>
      </c>
      <c r="B298">
        <v>3024</v>
      </c>
      <c r="C298">
        <v>2005</v>
      </c>
      <c r="D298" s="7">
        <v>46086</v>
      </c>
      <c r="E298" t="s">
        <v>201</v>
      </c>
      <c r="F298" t="s">
        <v>215</v>
      </c>
      <c r="G298">
        <v>10</v>
      </c>
      <c r="H298" s="7">
        <v>46116</v>
      </c>
      <c r="I298" t="s">
        <v>216</v>
      </c>
    </row>
    <row r="299" spans="1:9">
      <c r="A299">
        <v>50298</v>
      </c>
      <c r="B299">
        <v>3024</v>
      </c>
      <c r="C299">
        <v>2005</v>
      </c>
      <c r="D299" s="7">
        <v>46153</v>
      </c>
      <c r="E299" t="s">
        <v>201</v>
      </c>
      <c r="F299" t="s">
        <v>202</v>
      </c>
      <c r="G299">
        <v>15</v>
      </c>
      <c r="H299" s="7">
        <v>46174</v>
      </c>
      <c r="I299" t="s">
        <v>216</v>
      </c>
    </row>
    <row r="300" spans="1:9">
      <c r="A300">
        <v>50299</v>
      </c>
      <c r="B300">
        <v>3024</v>
      </c>
      <c r="C300">
        <v>2005</v>
      </c>
      <c r="D300" s="7">
        <v>46161</v>
      </c>
      <c r="E300" t="s">
        <v>204</v>
      </c>
      <c r="F300" t="s">
        <v>202</v>
      </c>
      <c r="G300">
        <v>60</v>
      </c>
      <c r="H300" s="7">
        <v>46164</v>
      </c>
      <c r="I300" t="s">
        <v>209</v>
      </c>
    </row>
    <row r="301" spans="1:9">
      <c r="A301">
        <v>50300</v>
      </c>
      <c r="B301">
        <v>3024</v>
      </c>
      <c r="C301">
        <v>2005</v>
      </c>
      <c r="D301" s="7">
        <v>46170</v>
      </c>
      <c r="E301" t="s">
        <v>212</v>
      </c>
      <c r="F301" t="s">
        <v>202</v>
      </c>
      <c r="G301">
        <v>60</v>
      </c>
      <c r="H301" s="7">
        <v>46191</v>
      </c>
      <c r="I301" t="s">
        <v>209</v>
      </c>
    </row>
    <row r="302" spans="1:9">
      <c r="A302">
        <v>50301</v>
      </c>
      <c r="B302">
        <v>3025</v>
      </c>
      <c r="C302">
        <v>2007</v>
      </c>
      <c r="D302" s="7">
        <v>45590</v>
      </c>
      <c r="E302" t="s">
        <v>219</v>
      </c>
      <c r="F302" t="s">
        <v>214</v>
      </c>
      <c r="H302" s="7">
        <v>45611</v>
      </c>
      <c r="I302" t="s">
        <v>216</v>
      </c>
    </row>
    <row r="303" spans="1:9">
      <c r="A303">
        <v>50302</v>
      </c>
      <c r="B303">
        <v>3025</v>
      </c>
      <c r="C303">
        <v>2007</v>
      </c>
      <c r="D303" s="7">
        <v>45609</v>
      </c>
      <c r="E303" t="s">
        <v>204</v>
      </c>
      <c r="F303" t="s">
        <v>202</v>
      </c>
      <c r="G303">
        <v>45</v>
      </c>
      <c r="H303" s="7">
        <v>45616</v>
      </c>
      <c r="I303" t="s">
        <v>207</v>
      </c>
    </row>
    <row r="304" spans="1:9">
      <c r="A304">
        <v>50303</v>
      </c>
      <c r="B304">
        <v>3025</v>
      </c>
      <c r="C304">
        <v>2007</v>
      </c>
      <c r="D304" s="7">
        <v>45634</v>
      </c>
      <c r="E304" t="s">
        <v>204</v>
      </c>
      <c r="F304" t="s">
        <v>202</v>
      </c>
      <c r="G304">
        <v>15</v>
      </c>
      <c r="H304" s="7">
        <v>45664</v>
      </c>
      <c r="I304" t="s">
        <v>211</v>
      </c>
    </row>
    <row r="305" spans="1:9">
      <c r="A305">
        <v>50304</v>
      </c>
      <c r="B305">
        <v>3025</v>
      </c>
      <c r="C305">
        <v>2007</v>
      </c>
      <c r="D305" s="7">
        <v>45804</v>
      </c>
      <c r="E305" t="s">
        <v>201</v>
      </c>
      <c r="F305" t="s">
        <v>202</v>
      </c>
      <c r="G305">
        <v>90</v>
      </c>
      <c r="H305" s="7">
        <v>45834</v>
      </c>
      <c r="I305" t="s">
        <v>206</v>
      </c>
    </row>
    <row r="306" spans="1:9">
      <c r="A306">
        <v>50305</v>
      </c>
      <c r="B306">
        <v>3025</v>
      </c>
      <c r="C306">
        <v>2007</v>
      </c>
      <c r="D306" s="7">
        <v>45923</v>
      </c>
      <c r="E306" t="s">
        <v>212</v>
      </c>
      <c r="F306" t="s">
        <v>214</v>
      </c>
      <c r="H306" s="7">
        <v>45926</v>
      </c>
      <c r="I306" t="s">
        <v>206</v>
      </c>
    </row>
    <row r="307" spans="1:9">
      <c r="A307">
        <v>50306</v>
      </c>
      <c r="B307">
        <v>3025</v>
      </c>
      <c r="C307">
        <v>2007</v>
      </c>
      <c r="D307" s="7">
        <v>46032</v>
      </c>
      <c r="E307" t="s">
        <v>201</v>
      </c>
      <c r="F307" t="s">
        <v>202</v>
      </c>
      <c r="G307">
        <v>90</v>
      </c>
      <c r="H307" s="7">
        <v>46039</v>
      </c>
      <c r="I307" t="s">
        <v>217</v>
      </c>
    </row>
    <row r="308" spans="1:9">
      <c r="A308">
        <v>50307</v>
      </c>
      <c r="B308">
        <v>3025</v>
      </c>
      <c r="C308">
        <v>2007</v>
      </c>
      <c r="D308" s="7">
        <v>46181</v>
      </c>
      <c r="E308" t="s">
        <v>204</v>
      </c>
      <c r="F308" t="s">
        <v>202</v>
      </c>
      <c r="G308">
        <v>90</v>
      </c>
      <c r="H308" s="7">
        <v>46195</v>
      </c>
      <c r="I308" t="s">
        <v>209</v>
      </c>
    </row>
    <row r="309" spans="1:9">
      <c r="A309">
        <v>50308</v>
      </c>
      <c r="B309">
        <v>3026</v>
      </c>
      <c r="C309">
        <v>2018</v>
      </c>
      <c r="D309" s="7">
        <v>45514</v>
      </c>
      <c r="E309" t="s">
        <v>201</v>
      </c>
      <c r="F309" t="s">
        <v>202</v>
      </c>
      <c r="G309">
        <v>60</v>
      </c>
      <c r="H309" s="7">
        <v>45544</v>
      </c>
      <c r="I309" t="s">
        <v>216</v>
      </c>
    </row>
    <row r="310" spans="1:9">
      <c r="A310">
        <v>50309</v>
      </c>
      <c r="B310">
        <v>3026</v>
      </c>
      <c r="C310">
        <v>2018</v>
      </c>
      <c r="D310" s="7">
        <v>45597</v>
      </c>
      <c r="E310" t="s">
        <v>201</v>
      </c>
      <c r="F310" t="s">
        <v>202</v>
      </c>
      <c r="G310">
        <v>15</v>
      </c>
      <c r="H310" s="7">
        <v>45600</v>
      </c>
      <c r="I310" t="s">
        <v>207</v>
      </c>
    </row>
    <row r="311" spans="1:9">
      <c r="A311">
        <v>50310</v>
      </c>
      <c r="B311">
        <v>3026</v>
      </c>
      <c r="C311">
        <v>2018</v>
      </c>
      <c r="D311" s="7">
        <v>45709</v>
      </c>
      <c r="E311" t="s">
        <v>212</v>
      </c>
      <c r="F311" t="s">
        <v>215</v>
      </c>
      <c r="G311">
        <v>20</v>
      </c>
      <c r="H311" s="7">
        <v>45712</v>
      </c>
      <c r="I311" t="s">
        <v>206</v>
      </c>
    </row>
    <row r="312" spans="1:9">
      <c r="A312">
        <v>50311</v>
      </c>
      <c r="B312">
        <v>3026</v>
      </c>
      <c r="C312">
        <v>2018</v>
      </c>
      <c r="D312" s="7">
        <v>45725</v>
      </c>
      <c r="E312" t="s">
        <v>204</v>
      </c>
      <c r="F312" t="s">
        <v>202</v>
      </c>
      <c r="G312">
        <v>90</v>
      </c>
      <c r="H312" s="7">
        <v>45746</v>
      </c>
      <c r="I312" t="s">
        <v>207</v>
      </c>
    </row>
    <row r="313" spans="1:9">
      <c r="A313">
        <v>50312</v>
      </c>
      <c r="B313">
        <v>3026</v>
      </c>
      <c r="C313">
        <v>2018</v>
      </c>
      <c r="D313" s="7">
        <v>45738</v>
      </c>
      <c r="E313" t="s">
        <v>204</v>
      </c>
      <c r="F313" t="s">
        <v>214</v>
      </c>
      <c r="H313" s="7">
        <v>45745</v>
      </c>
      <c r="I313" t="s">
        <v>207</v>
      </c>
    </row>
    <row r="314" spans="1:9">
      <c r="A314">
        <v>50313</v>
      </c>
      <c r="B314">
        <v>3026</v>
      </c>
      <c r="C314">
        <v>2018</v>
      </c>
      <c r="D314" s="7">
        <v>45778</v>
      </c>
      <c r="E314" t="s">
        <v>208</v>
      </c>
      <c r="F314" t="s">
        <v>202</v>
      </c>
      <c r="G314">
        <v>60</v>
      </c>
      <c r="H314" s="7">
        <v>45781</v>
      </c>
      <c r="I314" t="s">
        <v>206</v>
      </c>
    </row>
    <row r="315" spans="1:9">
      <c r="A315">
        <v>50314</v>
      </c>
      <c r="B315">
        <v>3026</v>
      </c>
      <c r="C315">
        <v>2018</v>
      </c>
      <c r="D315" s="7">
        <v>45897</v>
      </c>
      <c r="E315" t="s">
        <v>210</v>
      </c>
      <c r="F315" t="s">
        <v>202</v>
      </c>
      <c r="G315">
        <v>10</v>
      </c>
      <c r="H315" s="7">
        <v>45900</v>
      </c>
      <c r="I315" t="s">
        <v>206</v>
      </c>
    </row>
    <row r="316" spans="1:9">
      <c r="A316">
        <v>50315</v>
      </c>
      <c r="B316">
        <v>3026</v>
      </c>
      <c r="C316">
        <v>2018</v>
      </c>
      <c r="D316" s="7">
        <v>45907</v>
      </c>
      <c r="E316" t="s">
        <v>212</v>
      </c>
      <c r="F316" t="s">
        <v>202</v>
      </c>
      <c r="G316">
        <v>15</v>
      </c>
      <c r="H316" s="7">
        <v>45914</v>
      </c>
      <c r="I316" t="s">
        <v>211</v>
      </c>
    </row>
    <row r="317" spans="1:9">
      <c r="A317">
        <v>50316</v>
      </c>
      <c r="B317">
        <v>3026</v>
      </c>
      <c r="C317">
        <v>2018</v>
      </c>
      <c r="D317" s="7">
        <v>46085</v>
      </c>
      <c r="E317" t="s">
        <v>219</v>
      </c>
      <c r="F317" t="s">
        <v>202</v>
      </c>
      <c r="G317">
        <v>45</v>
      </c>
      <c r="H317" s="7">
        <v>46106</v>
      </c>
      <c r="I317" t="s">
        <v>211</v>
      </c>
    </row>
    <row r="318" spans="1:9">
      <c r="A318">
        <v>50317</v>
      </c>
      <c r="B318">
        <v>3027</v>
      </c>
      <c r="C318">
        <v>2018</v>
      </c>
      <c r="D318" s="7">
        <v>45333</v>
      </c>
      <c r="E318" t="s">
        <v>201</v>
      </c>
      <c r="F318" t="s">
        <v>205</v>
      </c>
      <c r="H318" s="7"/>
      <c r="I318" t="s">
        <v>216</v>
      </c>
    </row>
    <row r="319" spans="1:9">
      <c r="A319">
        <v>50318</v>
      </c>
      <c r="B319">
        <v>3027</v>
      </c>
      <c r="C319">
        <v>2018</v>
      </c>
      <c r="D319" s="7">
        <v>45334</v>
      </c>
      <c r="E319" t="s">
        <v>204</v>
      </c>
      <c r="F319" t="s">
        <v>202</v>
      </c>
      <c r="G319">
        <v>10</v>
      </c>
      <c r="H319" s="7">
        <v>45355</v>
      </c>
      <c r="I319" t="s">
        <v>207</v>
      </c>
    </row>
    <row r="320" spans="1:9">
      <c r="A320">
        <v>50319</v>
      </c>
      <c r="B320">
        <v>3027</v>
      </c>
      <c r="C320">
        <v>2018</v>
      </c>
      <c r="D320" s="7">
        <v>45422</v>
      </c>
      <c r="E320" t="s">
        <v>219</v>
      </c>
      <c r="F320" t="s">
        <v>218</v>
      </c>
      <c r="H320" s="7"/>
      <c r="I320" t="s">
        <v>216</v>
      </c>
    </row>
    <row r="321" spans="1:9">
      <c r="A321">
        <v>50320</v>
      </c>
      <c r="B321">
        <v>3027</v>
      </c>
      <c r="C321">
        <v>2018</v>
      </c>
      <c r="D321" s="7">
        <v>45442</v>
      </c>
      <c r="E321" t="s">
        <v>212</v>
      </c>
      <c r="F321" t="s">
        <v>213</v>
      </c>
      <c r="H321" s="7">
        <v>45472</v>
      </c>
      <c r="I321" t="s">
        <v>211</v>
      </c>
    </row>
    <row r="322" spans="1:9">
      <c r="A322">
        <v>50321</v>
      </c>
      <c r="B322">
        <v>3027</v>
      </c>
      <c r="C322">
        <v>2018</v>
      </c>
      <c r="D322" s="7">
        <v>45501</v>
      </c>
      <c r="E322" t="s">
        <v>204</v>
      </c>
      <c r="F322" t="s">
        <v>214</v>
      </c>
      <c r="H322" s="7">
        <v>45515</v>
      </c>
      <c r="I322" t="s">
        <v>217</v>
      </c>
    </row>
    <row r="323" spans="1:9">
      <c r="A323">
        <v>50322</v>
      </c>
      <c r="B323">
        <v>3027</v>
      </c>
      <c r="C323">
        <v>2018</v>
      </c>
      <c r="D323" s="7">
        <v>45526</v>
      </c>
      <c r="E323" t="s">
        <v>210</v>
      </c>
      <c r="F323" t="s">
        <v>218</v>
      </c>
      <c r="H323" s="7"/>
      <c r="I323" t="s">
        <v>217</v>
      </c>
    </row>
    <row r="324" spans="1:9">
      <c r="A324">
        <v>50323</v>
      </c>
      <c r="B324">
        <v>3027</v>
      </c>
      <c r="C324">
        <v>2018</v>
      </c>
      <c r="D324" s="7">
        <v>45537</v>
      </c>
      <c r="E324" t="s">
        <v>212</v>
      </c>
      <c r="F324" t="s">
        <v>202</v>
      </c>
      <c r="G324">
        <v>90</v>
      </c>
      <c r="H324" s="7">
        <v>45567</v>
      </c>
      <c r="I324" t="s">
        <v>203</v>
      </c>
    </row>
    <row r="325" spans="1:9">
      <c r="A325">
        <v>50324</v>
      </c>
      <c r="B325">
        <v>3027</v>
      </c>
      <c r="C325">
        <v>2018</v>
      </c>
      <c r="D325" s="7">
        <v>45599</v>
      </c>
      <c r="E325" t="s">
        <v>210</v>
      </c>
      <c r="F325" t="s">
        <v>202</v>
      </c>
      <c r="G325">
        <v>15</v>
      </c>
      <c r="H325" s="7">
        <v>45602</v>
      </c>
      <c r="I325" t="s">
        <v>207</v>
      </c>
    </row>
    <row r="326" spans="1:9">
      <c r="A326">
        <v>50325</v>
      </c>
      <c r="B326">
        <v>3027</v>
      </c>
      <c r="C326">
        <v>2018</v>
      </c>
      <c r="D326" s="7">
        <v>45609</v>
      </c>
      <c r="E326" t="s">
        <v>208</v>
      </c>
      <c r="F326" t="s">
        <v>213</v>
      </c>
      <c r="H326" s="7">
        <v>45639</v>
      </c>
      <c r="I326" t="s">
        <v>203</v>
      </c>
    </row>
    <row r="327" spans="1:9">
      <c r="A327">
        <v>50326</v>
      </c>
      <c r="B327">
        <v>3027</v>
      </c>
      <c r="C327">
        <v>2018</v>
      </c>
      <c r="D327" s="7">
        <v>45656</v>
      </c>
      <c r="E327" t="s">
        <v>210</v>
      </c>
      <c r="F327" t="s">
        <v>213</v>
      </c>
      <c r="H327" s="7">
        <v>45686</v>
      </c>
      <c r="I327" t="s">
        <v>207</v>
      </c>
    </row>
    <row r="328" spans="1:9">
      <c r="A328">
        <v>50327</v>
      </c>
      <c r="B328">
        <v>3027</v>
      </c>
      <c r="C328">
        <v>2018</v>
      </c>
      <c r="D328" s="7">
        <v>45705</v>
      </c>
      <c r="E328" t="s">
        <v>201</v>
      </c>
      <c r="F328" t="s">
        <v>213</v>
      </c>
      <c r="H328" s="7">
        <v>45735</v>
      </c>
      <c r="I328" t="s">
        <v>206</v>
      </c>
    </row>
    <row r="329" spans="1:9">
      <c r="A329">
        <v>50328</v>
      </c>
      <c r="B329">
        <v>3027</v>
      </c>
      <c r="C329">
        <v>2018</v>
      </c>
      <c r="D329" s="7">
        <v>45723</v>
      </c>
      <c r="E329" t="s">
        <v>208</v>
      </c>
      <c r="F329" t="s">
        <v>202</v>
      </c>
      <c r="G329">
        <v>90</v>
      </c>
      <c r="H329" s="7">
        <v>45726</v>
      </c>
      <c r="I329" t="s">
        <v>203</v>
      </c>
    </row>
    <row r="330" spans="1:9">
      <c r="A330">
        <v>50329</v>
      </c>
      <c r="B330">
        <v>3027</v>
      </c>
      <c r="C330">
        <v>2018</v>
      </c>
      <c r="D330" s="7">
        <v>45758</v>
      </c>
      <c r="E330" t="s">
        <v>212</v>
      </c>
      <c r="F330" t="s">
        <v>202</v>
      </c>
      <c r="G330">
        <v>15</v>
      </c>
      <c r="H330" s="7">
        <v>45779</v>
      </c>
      <c r="I330" t="s">
        <v>217</v>
      </c>
    </row>
    <row r="331" spans="1:9">
      <c r="A331">
        <v>50330</v>
      </c>
      <c r="B331">
        <v>3027</v>
      </c>
      <c r="C331">
        <v>2018</v>
      </c>
      <c r="D331" s="7">
        <v>45839</v>
      </c>
      <c r="E331" t="s">
        <v>212</v>
      </c>
      <c r="F331" t="s">
        <v>202</v>
      </c>
      <c r="G331">
        <v>15</v>
      </c>
      <c r="H331" s="7">
        <v>45853</v>
      </c>
      <c r="I331" t="s">
        <v>203</v>
      </c>
    </row>
    <row r="332" spans="1:9">
      <c r="A332">
        <v>50331</v>
      </c>
      <c r="B332">
        <v>3027</v>
      </c>
      <c r="C332">
        <v>2018</v>
      </c>
      <c r="D332" s="7">
        <v>45978</v>
      </c>
      <c r="E332" t="s">
        <v>208</v>
      </c>
      <c r="F332" t="s">
        <v>202</v>
      </c>
      <c r="G332">
        <v>30</v>
      </c>
      <c r="H332" s="7">
        <v>46008</v>
      </c>
      <c r="I332" t="s">
        <v>211</v>
      </c>
    </row>
    <row r="333" spans="1:9">
      <c r="A333">
        <v>50332</v>
      </c>
      <c r="B333">
        <v>3027</v>
      </c>
      <c r="C333">
        <v>2018</v>
      </c>
      <c r="D333" s="7">
        <v>46034</v>
      </c>
      <c r="E333" t="s">
        <v>204</v>
      </c>
      <c r="F333" t="s">
        <v>202</v>
      </c>
      <c r="G333">
        <v>60</v>
      </c>
      <c r="H333" s="7">
        <v>46048</v>
      </c>
      <c r="I333" t="s">
        <v>217</v>
      </c>
    </row>
    <row r="334" spans="1:9">
      <c r="A334">
        <v>50333</v>
      </c>
      <c r="B334">
        <v>3027</v>
      </c>
      <c r="C334">
        <v>2018</v>
      </c>
      <c r="D334" s="7">
        <v>46037</v>
      </c>
      <c r="E334" t="s">
        <v>210</v>
      </c>
      <c r="F334" t="s">
        <v>213</v>
      </c>
      <c r="H334" s="7">
        <v>46067</v>
      </c>
      <c r="I334" t="s">
        <v>209</v>
      </c>
    </row>
    <row r="335" spans="1:9">
      <c r="A335">
        <v>50334</v>
      </c>
      <c r="B335">
        <v>3027</v>
      </c>
      <c r="C335">
        <v>2018</v>
      </c>
      <c r="D335" s="7">
        <v>46055</v>
      </c>
      <c r="E335" t="s">
        <v>212</v>
      </c>
      <c r="F335" t="s">
        <v>202</v>
      </c>
      <c r="G335">
        <v>20</v>
      </c>
      <c r="H335" s="7">
        <v>46058</v>
      </c>
      <c r="I335" t="s">
        <v>207</v>
      </c>
    </row>
    <row r="336" spans="1:9">
      <c r="A336">
        <v>50335</v>
      </c>
      <c r="B336">
        <v>3027</v>
      </c>
      <c r="C336">
        <v>2018</v>
      </c>
      <c r="D336" s="7">
        <v>46090</v>
      </c>
      <c r="E336" t="s">
        <v>204</v>
      </c>
      <c r="F336" t="s">
        <v>202</v>
      </c>
      <c r="G336">
        <v>10</v>
      </c>
      <c r="H336" s="7">
        <v>46111</v>
      </c>
      <c r="I336" t="s">
        <v>217</v>
      </c>
    </row>
    <row r="337" spans="1:9">
      <c r="A337">
        <v>50336</v>
      </c>
      <c r="B337">
        <v>3028</v>
      </c>
      <c r="C337">
        <v>2018</v>
      </c>
      <c r="D337" s="7">
        <v>45514</v>
      </c>
      <c r="E337" t="s">
        <v>204</v>
      </c>
      <c r="F337" t="s">
        <v>202</v>
      </c>
      <c r="G337">
        <v>15</v>
      </c>
      <c r="H337" s="7">
        <v>45535</v>
      </c>
      <c r="I337" t="s">
        <v>206</v>
      </c>
    </row>
    <row r="338" spans="1:9">
      <c r="A338">
        <v>50337</v>
      </c>
      <c r="B338">
        <v>3028</v>
      </c>
      <c r="C338">
        <v>2018</v>
      </c>
      <c r="D338" s="7">
        <v>45523</v>
      </c>
      <c r="E338" t="s">
        <v>204</v>
      </c>
      <c r="F338" t="s">
        <v>202</v>
      </c>
      <c r="G338">
        <v>30</v>
      </c>
      <c r="H338" s="7">
        <v>45553</v>
      </c>
      <c r="I338" t="s">
        <v>207</v>
      </c>
    </row>
    <row r="339" spans="1:9">
      <c r="A339">
        <v>50338</v>
      </c>
      <c r="B339">
        <v>3028</v>
      </c>
      <c r="C339">
        <v>2018</v>
      </c>
      <c r="D339" s="7">
        <v>45527</v>
      </c>
      <c r="E339" t="s">
        <v>219</v>
      </c>
      <c r="F339" t="s">
        <v>202</v>
      </c>
      <c r="G339">
        <v>10</v>
      </c>
      <c r="H339" s="7">
        <v>45548</v>
      </c>
      <c r="I339" t="s">
        <v>216</v>
      </c>
    </row>
    <row r="340" spans="1:9">
      <c r="A340">
        <v>50339</v>
      </c>
      <c r="B340">
        <v>3028</v>
      </c>
      <c r="C340">
        <v>2018</v>
      </c>
      <c r="D340" s="7">
        <v>45537</v>
      </c>
      <c r="E340" t="s">
        <v>210</v>
      </c>
      <c r="F340" t="s">
        <v>202</v>
      </c>
      <c r="G340">
        <v>10</v>
      </c>
      <c r="H340" s="7">
        <v>45551</v>
      </c>
      <c r="I340" t="s">
        <v>217</v>
      </c>
    </row>
    <row r="341" spans="1:9">
      <c r="A341">
        <v>50340</v>
      </c>
      <c r="B341">
        <v>3028</v>
      </c>
      <c r="C341">
        <v>2018</v>
      </c>
      <c r="D341" s="7">
        <v>45554</v>
      </c>
      <c r="E341" t="s">
        <v>210</v>
      </c>
      <c r="F341" t="s">
        <v>214</v>
      </c>
      <c r="H341" s="7">
        <v>45584</v>
      </c>
      <c r="I341" t="s">
        <v>216</v>
      </c>
    </row>
    <row r="342" spans="1:9">
      <c r="A342">
        <v>50341</v>
      </c>
      <c r="B342">
        <v>3028</v>
      </c>
      <c r="C342">
        <v>2018</v>
      </c>
      <c r="D342" s="7">
        <v>45621</v>
      </c>
      <c r="E342" t="s">
        <v>204</v>
      </c>
      <c r="F342" t="s">
        <v>202</v>
      </c>
      <c r="G342">
        <v>90</v>
      </c>
      <c r="H342" s="7">
        <v>45651</v>
      </c>
      <c r="I342" t="s">
        <v>207</v>
      </c>
    </row>
    <row r="343" spans="1:9">
      <c r="A343">
        <v>50342</v>
      </c>
      <c r="B343">
        <v>3028</v>
      </c>
      <c r="C343">
        <v>2018</v>
      </c>
      <c r="D343" s="7">
        <v>45686</v>
      </c>
      <c r="E343" t="s">
        <v>201</v>
      </c>
      <c r="F343" t="s">
        <v>214</v>
      </c>
      <c r="H343" s="7">
        <v>45716</v>
      </c>
      <c r="I343" t="s">
        <v>216</v>
      </c>
    </row>
    <row r="344" spans="1:9">
      <c r="A344">
        <v>50343</v>
      </c>
      <c r="B344">
        <v>3028</v>
      </c>
      <c r="C344">
        <v>2018</v>
      </c>
      <c r="D344" s="7">
        <v>45708</v>
      </c>
      <c r="E344" t="s">
        <v>219</v>
      </c>
      <c r="F344" t="s">
        <v>214</v>
      </c>
      <c r="H344" s="7">
        <v>45715</v>
      </c>
      <c r="I344" t="s">
        <v>207</v>
      </c>
    </row>
    <row r="345" spans="1:9">
      <c r="A345">
        <v>50344</v>
      </c>
      <c r="B345">
        <v>3028</v>
      </c>
      <c r="C345">
        <v>2018</v>
      </c>
      <c r="D345" s="7">
        <v>45767</v>
      </c>
      <c r="E345" t="s">
        <v>212</v>
      </c>
      <c r="F345" t="s">
        <v>202</v>
      </c>
      <c r="G345">
        <v>15</v>
      </c>
      <c r="H345" s="7">
        <v>45781</v>
      </c>
      <c r="I345" t="s">
        <v>207</v>
      </c>
    </row>
    <row r="346" spans="1:9">
      <c r="A346">
        <v>50345</v>
      </c>
      <c r="B346">
        <v>3028</v>
      </c>
      <c r="C346">
        <v>2018</v>
      </c>
      <c r="D346" s="7">
        <v>45906</v>
      </c>
      <c r="E346" t="s">
        <v>201</v>
      </c>
      <c r="F346" t="s">
        <v>214</v>
      </c>
      <c r="H346" s="7">
        <v>45913</v>
      </c>
      <c r="I346" t="s">
        <v>217</v>
      </c>
    </row>
    <row r="347" spans="1:9">
      <c r="A347">
        <v>50346</v>
      </c>
      <c r="B347">
        <v>3028</v>
      </c>
      <c r="C347">
        <v>2018</v>
      </c>
      <c r="D347" s="7">
        <v>45959</v>
      </c>
      <c r="E347" t="s">
        <v>201</v>
      </c>
      <c r="F347" t="s">
        <v>202</v>
      </c>
      <c r="G347">
        <v>45</v>
      </c>
      <c r="H347" s="7">
        <v>45989</v>
      </c>
      <c r="I347" t="s">
        <v>206</v>
      </c>
    </row>
    <row r="348" spans="1:9">
      <c r="A348">
        <v>50347</v>
      </c>
      <c r="B348">
        <v>3028</v>
      </c>
      <c r="C348">
        <v>2018</v>
      </c>
      <c r="D348" s="7">
        <v>45962</v>
      </c>
      <c r="E348" t="s">
        <v>204</v>
      </c>
      <c r="F348" t="s">
        <v>214</v>
      </c>
      <c r="H348" s="7">
        <v>45983</v>
      </c>
      <c r="I348" t="s">
        <v>206</v>
      </c>
    </row>
    <row r="349" spans="1:9">
      <c r="A349">
        <v>50348</v>
      </c>
      <c r="B349">
        <v>3028</v>
      </c>
      <c r="C349">
        <v>2018</v>
      </c>
      <c r="D349" s="7">
        <v>45979</v>
      </c>
      <c r="E349" t="s">
        <v>212</v>
      </c>
      <c r="F349" t="s">
        <v>202</v>
      </c>
      <c r="G349">
        <v>45</v>
      </c>
      <c r="H349" s="7">
        <v>45993</v>
      </c>
      <c r="I349" t="s">
        <v>217</v>
      </c>
    </row>
    <row r="350" spans="1:9">
      <c r="A350">
        <v>50349</v>
      </c>
      <c r="B350">
        <v>3028</v>
      </c>
      <c r="C350">
        <v>2018</v>
      </c>
      <c r="D350" s="7">
        <v>46005</v>
      </c>
      <c r="E350" t="s">
        <v>212</v>
      </c>
      <c r="F350" t="s">
        <v>215</v>
      </c>
      <c r="G350">
        <v>30</v>
      </c>
      <c r="H350" s="7">
        <v>46008</v>
      </c>
      <c r="I350" t="s">
        <v>209</v>
      </c>
    </row>
    <row r="351" spans="1:9">
      <c r="A351">
        <v>50350</v>
      </c>
      <c r="B351">
        <v>3028</v>
      </c>
      <c r="C351">
        <v>2018</v>
      </c>
      <c r="D351" s="7">
        <v>46045</v>
      </c>
      <c r="E351" t="s">
        <v>201</v>
      </c>
      <c r="F351" t="s">
        <v>205</v>
      </c>
      <c r="H351" s="7"/>
      <c r="I351" t="s">
        <v>217</v>
      </c>
    </row>
    <row r="352" spans="1:9">
      <c r="A352">
        <v>50351</v>
      </c>
      <c r="B352">
        <v>3029</v>
      </c>
      <c r="C352">
        <v>2006</v>
      </c>
      <c r="D352" s="7">
        <v>46039</v>
      </c>
      <c r="E352" t="s">
        <v>219</v>
      </c>
      <c r="F352" t="s">
        <v>202</v>
      </c>
      <c r="G352">
        <v>45</v>
      </c>
      <c r="H352" s="7">
        <v>46060</v>
      </c>
      <c r="I352" t="s">
        <v>216</v>
      </c>
    </row>
    <row r="353" spans="1:9">
      <c r="A353">
        <v>50352</v>
      </c>
      <c r="B353">
        <v>3029</v>
      </c>
      <c r="C353">
        <v>2006</v>
      </c>
      <c r="D353" s="7">
        <v>46045</v>
      </c>
      <c r="E353" t="s">
        <v>212</v>
      </c>
      <c r="F353" t="s">
        <v>213</v>
      </c>
      <c r="H353" s="7">
        <v>46059</v>
      </c>
      <c r="I353" t="s">
        <v>206</v>
      </c>
    </row>
    <row r="354" spans="1:9">
      <c r="A354">
        <v>50353</v>
      </c>
      <c r="B354">
        <v>3029</v>
      </c>
      <c r="C354">
        <v>2006</v>
      </c>
      <c r="D354" s="7">
        <v>46047</v>
      </c>
      <c r="E354" t="s">
        <v>212</v>
      </c>
      <c r="F354" t="s">
        <v>202</v>
      </c>
      <c r="G354">
        <v>45</v>
      </c>
      <c r="H354" s="7">
        <v>46050</v>
      </c>
      <c r="I354" t="s">
        <v>207</v>
      </c>
    </row>
    <row r="355" spans="1:9">
      <c r="A355">
        <v>50354</v>
      </c>
      <c r="B355">
        <v>3029</v>
      </c>
      <c r="C355">
        <v>2006</v>
      </c>
      <c r="D355" s="7">
        <v>46051</v>
      </c>
      <c r="E355" t="s">
        <v>204</v>
      </c>
      <c r="F355" t="s">
        <v>202</v>
      </c>
      <c r="G355">
        <v>90</v>
      </c>
      <c r="H355" s="7">
        <v>46065</v>
      </c>
      <c r="I355" t="s">
        <v>209</v>
      </c>
    </row>
    <row r="356" spans="1:9">
      <c r="A356">
        <v>50355</v>
      </c>
      <c r="B356">
        <v>3029</v>
      </c>
      <c r="C356">
        <v>2006</v>
      </c>
      <c r="D356" s="7">
        <v>46065</v>
      </c>
      <c r="E356" t="s">
        <v>208</v>
      </c>
      <c r="F356" t="s">
        <v>202</v>
      </c>
      <c r="G356">
        <v>10</v>
      </c>
      <c r="H356" s="7">
        <v>46068</v>
      </c>
      <c r="I356" t="s">
        <v>203</v>
      </c>
    </row>
    <row r="357" spans="1:9">
      <c r="A357">
        <v>50356</v>
      </c>
      <c r="B357">
        <v>3029</v>
      </c>
      <c r="C357">
        <v>2006</v>
      </c>
      <c r="D357" s="7">
        <v>46078</v>
      </c>
      <c r="E357" t="s">
        <v>219</v>
      </c>
      <c r="F357" t="s">
        <v>202</v>
      </c>
      <c r="G357">
        <v>15</v>
      </c>
      <c r="H357" s="7">
        <v>46085</v>
      </c>
      <c r="I357" t="s">
        <v>206</v>
      </c>
    </row>
    <row r="358" spans="1:9">
      <c r="A358">
        <v>50357</v>
      </c>
      <c r="B358">
        <v>3029</v>
      </c>
      <c r="C358">
        <v>2006</v>
      </c>
      <c r="D358" s="7">
        <v>46096</v>
      </c>
      <c r="E358" t="s">
        <v>208</v>
      </c>
      <c r="F358" t="s">
        <v>213</v>
      </c>
      <c r="H358" s="7">
        <v>46110</v>
      </c>
      <c r="I358" t="s">
        <v>207</v>
      </c>
    </row>
    <row r="359" spans="1:9">
      <c r="A359">
        <v>50358</v>
      </c>
      <c r="B359">
        <v>3029</v>
      </c>
      <c r="C359">
        <v>2006</v>
      </c>
      <c r="D359" s="7">
        <v>46115</v>
      </c>
      <c r="E359" t="s">
        <v>201</v>
      </c>
      <c r="F359" t="s">
        <v>202</v>
      </c>
      <c r="G359">
        <v>90</v>
      </c>
      <c r="H359" s="7">
        <v>46145</v>
      </c>
      <c r="I359" t="s">
        <v>207</v>
      </c>
    </row>
    <row r="360" spans="1:9">
      <c r="A360">
        <v>50359</v>
      </c>
      <c r="B360">
        <v>3029</v>
      </c>
      <c r="C360">
        <v>2006</v>
      </c>
      <c r="D360" s="7">
        <v>46131</v>
      </c>
      <c r="E360" t="s">
        <v>212</v>
      </c>
      <c r="F360" t="s">
        <v>214</v>
      </c>
      <c r="H360" s="7">
        <v>46161</v>
      </c>
      <c r="I360" t="s">
        <v>206</v>
      </c>
    </row>
    <row r="361" spans="1:9">
      <c r="A361">
        <v>50360</v>
      </c>
      <c r="B361">
        <v>3029</v>
      </c>
      <c r="C361">
        <v>2006</v>
      </c>
      <c r="D361" s="7">
        <v>46134</v>
      </c>
      <c r="E361" t="s">
        <v>219</v>
      </c>
      <c r="F361" t="s">
        <v>214</v>
      </c>
      <c r="H361" s="7">
        <v>46148</v>
      </c>
      <c r="I361" t="s">
        <v>211</v>
      </c>
    </row>
    <row r="362" spans="1:9">
      <c r="A362">
        <v>50361</v>
      </c>
      <c r="B362">
        <v>3029</v>
      </c>
      <c r="C362">
        <v>2006</v>
      </c>
      <c r="D362" s="7">
        <v>46141</v>
      </c>
      <c r="E362" t="s">
        <v>212</v>
      </c>
      <c r="F362" t="s">
        <v>202</v>
      </c>
      <c r="G362">
        <v>20</v>
      </c>
      <c r="H362" s="7">
        <v>46148</v>
      </c>
      <c r="I362" t="s">
        <v>206</v>
      </c>
    </row>
    <row r="363" spans="1:9">
      <c r="A363">
        <v>50362</v>
      </c>
      <c r="B363">
        <v>3029</v>
      </c>
      <c r="C363">
        <v>2006</v>
      </c>
      <c r="D363" s="7">
        <v>46148</v>
      </c>
      <c r="E363" t="s">
        <v>204</v>
      </c>
      <c r="F363" t="s">
        <v>205</v>
      </c>
      <c r="H363" s="7"/>
      <c r="I363" t="s">
        <v>217</v>
      </c>
    </row>
    <row r="364" spans="1:9">
      <c r="A364">
        <v>50363</v>
      </c>
      <c r="B364">
        <v>3029</v>
      </c>
      <c r="C364">
        <v>2006</v>
      </c>
      <c r="D364" s="7">
        <v>46170</v>
      </c>
      <c r="E364" t="s">
        <v>201</v>
      </c>
      <c r="F364" t="s">
        <v>202</v>
      </c>
      <c r="G364">
        <v>15</v>
      </c>
      <c r="H364" s="7">
        <v>46177</v>
      </c>
      <c r="I364" t="s">
        <v>217</v>
      </c>
    </row>
    <row r="365" spans="1:9">
      <c r="A365">
        <v>50364</v>
      </c>
      <c r="B365">
        <v>3029</v>
      </c>
      <c r="C365">
        <v>2006</v>
      </c>
      <c r="D365" s="7">
        <v>46189</v>
      </c>
      <c r="E365" t="s">
        <v>208</v>
      </c>
      <c r="F365" t="s">
        <v>202</v>
      </c>
      <c r="G365">
        <v>20</v>
      </c>
      <c r="H365" s="7">
        <v>46192</v>
      </c>
      <c r="I365" t="s">
        <v>211</v>
      </c>
    </row>
    <row r="366" spans="1:9">
      <c r="A366">
        <v>50365</v>
      </c>
      <c r="B366">
        <v>3029</v>
      </c>
      <c r="C366">
        <v>2006</v>
      </c>
      <c r="D366" s="7">
        <v>46194</v>
      </c>
      <c r="E366" t="s">
        <v>219</v>
      </c>
      <c r="F366" t="s">
        <v>202</v>
      </c>
      <c r="G366">
        <v>45</v>
      </c>
      <c r="H366" s="7">
        <v>46208</v>
      </c>
      <c r="I366" t="s">
        <v>209</v>
      </c>
    </row>
    <row r="367" spans="1:9">
      <c r="A367">
        <v>50366</v>
      </c>
      <c r="B367">
        <v>3029</v>
      </c>
      <c r="C367">
        <v>2006</v>
      </c>
      <c r="D367" s="7">
        <v>46200</v>
      </c>
      <c r="E367" t="s">
        <v>204</v>
      </c>
      <c r="F367" t="s">
        <v>214</v>
      </c>
      <c r="H367" s="7">
        <v>46207</v>
      </c>
      <c r="I367" t="s">
        <v>203</v>
      </c>
    </row>
    <row r="368" spans="1:9">
      <c r="A368">
        <v>50367</v>
      </c>
      <c r="B368">
        <v>3029</v>
      </c>
      <c r="C368">
        <v>2006</v>
      </c>
      <c r="D368" s="7">
        <v>46201</v>
      </c>
      <c r="E368" t="s">
        <v>212</v>
      </c>
      <c r="F368" t="s">
        <v>214</v>
      </c>
      <c r="H368" s="7">
        <v>46204</v>
      </c>
      <c r="I368" t="s">
        <v>217</v>
      </c>
    </row>
    <row r="369" spans="1:9">
      <c r="A369">
        <v>50368</v>
      </c>
      <c r="B369">
        <v>3029</v>
      </c>
      <c r="C369">
        <v>2006</v>
      </c>
      <c r="D369" s="7">
        <v>46209</v>
      </c>
      <c r="E369" t="s">
        <v>208</v>
      </c>
      <c r="F369" t="s">
        <v>214</v>
      </c>
      <c r="H369" s="7"/>
      <c r="I369" t="s">
        <v>216</v>
      </c>
    </row>
    <row r="370" spans="1:9">
      <c r="A370">
        <v>50369</v>
      </c>
      <c r="B370">
        <v>3030</v>
      </c>
      <c r="C370">
        <v>2013</v>
      </c>
      <c r="D370" s="7">
        <v>45338</v>
      </c>
      <c r="E370" t="s">
        <v>212</v>
      </c>
      <c r="F370" t="s">
        <v>202</v>
      </c>
      <c r="G370">
        <v>90</v>
      </c>
      <c r="H370" s="7">
        <v>45345</v>
      </c>
      <c r="I370" t="s">
        <v>216</v>
      </c>
    </row>
    <row r="371" spans="1:9">
      <c r="A371">
        <v>50370</v>
      </c>
      <c r="B371">
        <v>3030</v>
      </c>
      <c r="C371">
        <v>2013</v>
      </c>
      <c r="D371" s="7">
        <v>45458</v>
      </c>
      <c r="E371" t="s">
        <v>204</v>
      </c>
      <c r="F371" t="s">
        <v>205</v>
      </c>
      <c r="H371" s="7"/>
      <c r="I371" t="s">
        <v>211</v>
      </c>
    </row>
    <row r="372" spans="1:9">
      <c r="A372">
        <v>50371</v>
      </c>
      <c r="B372">
        <v>3030</v>
      </c>
      <c r="C372">
        <v>2013</v>
      </c>
      <c r="D372" s="7">
        <v>45561</v>
      </c>
      <c r="E372" t="s">
        <v>212</v>
      </c>
      <c r="F372" t="s">
        <v>202</v>
      </c>
      <c r="G372">
        <v>45</v>
      </c>
      <c r="H372" s="7">
        <v>45564</v>
      </c>
      <c r="I372" t="s">
        <v>207</v>
      </c>
    </row>
    <row r="373" spans="1:9">
      <c r="A373">
        <v>50372</v>
      </c>
      <c r="B373">
        <v>3030</v>
      </c>
      <c r="C373">
        <v>2013</v>
      </c>
      <c r="D373" s="7">
        <v>45635</v>
      </c>
      <c r="E373" t="s">
        <v>210</v>
      </c>
      <c r="F373" t="s">
        <v>213</v>
      </c>
      <c r="H373" s="7">
        <v>45649</v>
      </c>
      <c r="I373" t="s">
        <v>209</v>
      </c>
    </row>
    <row r="374" spans="1:9">
      <c r="A374">
        <v>50373</v>
      </c>
      <c r="B374">
        <v>3030</v>
      </c>
      <c r="C374">
        <v>2013</v>
      </c>
      <c r="D374" s="7">
        <v>45732</v>
      </c>
      <c r="E374" t="s">
        <v>219</v>
      </c>
      <c r="F374" t="s">
        <v>215</v>
      </c>
      <c r="G374">
        <v>90</v>
      </c>
      <c r="H374" s="7">
        <v>45735</v>
      </c>
      <c r="I374" t="s">
        <v>209</v>
      </c>
    </row>
    <row r="375" spans="1:9">
      <c r="A375">
        <v>50374</v>
      </c>
      <c r="B375">
        <v>3030</v>
      </c>
      <c r="C375">
        <v>2013</v>
      </c>
      <c r="D375" s="7">
        <v>45764</v>
      </c>
      <c r="E375" t="s">
        <v>201</v>
      </c>
      <c r="F375" t="s">
        <v>214</v>
      </c>
      <c r="H375" s="7">
        <v>45794</v>
      </c>
      <c r="I375" t="s">
        <v>207</v>
      </c>
    </row>
    <row r="376" spans="1:9">
      <c r="A376">
        <v>50375</v>
      </c>
      <c r="B376">
        <v>3030</v>
      </c>
      <c r="C376">
        <v>2013</v>
      </c>
      <c r="D376" s="7">
        <v>45828</v>
      </c>
      <c r="E376" t="s">
        <v>212</v>
      </c>
      <c r="F376" t="s">
        <v>214</v>
      </c>
      <c r="H376" s="7">
        <v>45849</v>
      </c>
      <c r="I376" t="s">
        <v>216</v>
      </c>
    </row>
    <row r="377" spans="1:9">
      <c r="A377">
        <v>50376</v>
      </c>
      <c r="B377">
        <v>3030</v>
      </c>
      <c r="C377">
        <v>2013</v>
      </c>
      <c r="D377" s="7">
        <v>45982</v>
      </c>
      <c r="E377" t="s">
        <v>204</v>
      </c>
      <c r="F377" t="s">
        <v>202</v>
      </c>
      <c r="G377">
        <v>30</v>
      </c>
      <c r="H377" s="7">
        <v>46003</v>
      </c>
      <c r="I377" t="s">
        <v>206</v>
      </c>
    </row>
    <row r="378" spans="1:9">
      <c r="A378">
        <v>50377</v>
      </c>
      <c r="B378">
        <v>3030</v>
      </c>
      <c r="C378">
        <v>2013</v>
      </c>
      <c r="D378" s="7">
        <v>46025</v>
      </c>
      <c r="E378" t="s">
        <v>212</v>
      </c>
      <c r="F378" t="s">
        <v>202</v>
      </c>
      <c r="G378">
        <v>15</v>
      </c>
      <c r="H378" s="7">
        <v>46046</v>
      </c>
      <c r="I378" t="s">
        <v>217</v>
      </c>
    </row>
    <row r="379" spans="1:9">
      <c r="A379">
        <v>50378</v>
      </c>
      <c r="B379">
        <v>3030</v>
      </c>
      <c r="C379">
        <v>2013</v>
      </c>
      <c r="D379" s="7">
        <v>46067</v>
      </c>
      <c r="E379" t="s">
        <v>208</v>
      </c>
      <c r="F379" t="s">
        <v>205</v>
      </c>
      <c r="H379" s="7"/>
      <c r="I379" t="s">
        <v>211</v>
      </c>
    </row>
    <row r="380" spans="1:9">
      <c r="A380">
        <v>50379</v>
      </c>
      <c r="B380">
        <v>3030</v>
      </c>
      <c r="C380">
        <v>2013</v>
      </c>
      <c r="D380" s="7">
        <v>46100</v>
      </c>
      <c r="E380" t="s">
        <v>212</v>
      </c>
      <c r="F380" t="s">
        <v>202</v>
      </c>
      <c r="G380">
        <v>45</v>
      </c>
      <c r="H380" s="7">
        <v>46121</v>
      </c>
      <c r="I380" t="s">
        <v>203</v>
      </c>
    </row>
    <row r="381" spans="1:9">
      <c r="A381">
        <v>50380</v>
      </c>
      <c r="B381">
        <v>3030</v>
      </c>
      <c r="C381">
        <v>2013</v>
      </c>
      <c r="D381" s="7">
        <v>46139</v>
      </c>
      <c r="E381" t="s">
        <v>210</v>
      </c>
      <c r="F381" t="s">
        <v>215</v>
      </c>
      <c r="G381">
        <v>45</v>
      </c>
      <c r="H381" s="7">
        <v>46160</v>
      </c>
      <c r="I381" t="s">
        <v>203</v>
      </c>
    </row>
    <row r="382" spans="1:9">
      <c r="A382">
        <v>50381</v>
      </c>
      <c r="B382">
        <v>3030</v>
      </c>
      <c r="C382">
        <v>2013</v>
      </c>
      <c r="D382" s="7">
        <v>46139</v>
      </c>
      <c r="E382" t="s">
        <v>208</v>
      </c>
      <c r="F382" t="s">
        <v>218</v>
      </c>
      <c r="H382" s="7"/>
      <c r="I382" t="s">
        <v>217</v>
      </c>
    </row>
    <row r="383" spans="1:9">
      <c r="A383">
        <v>50382</v>
      </c>
      <c r="B383">
        <v>3030</v>
      </c>
      <c r="C383">
        <v>2013</v>
      </c>
      <c r="D383" s="7">
        <v>46204</v>
      </c>
      <c r="E383" t="s">
        <v>204</v>
      </c>
      <c r="F383" t="s">
        <v>202</v>
      </c>
      <c r="G383">
        <v>30</v>
      </c>
      <c r="H383" s="7">
        <v>46207</v>
      </c>
      <c r="I383" t="s">
        <v>207</v>
      </c>
    </row>
    <row r="384" spans="1:9">
      <c r="A384">
        <v>50383</v>
      </c>
      <c r="B384">
        <v>3031</v>
      </c>
      <c r="C384">
        <v>2005</v>
      </c>
      <c r="D384" s="7">
        <v>45279</v>
      </c>
      <c r="E384" t="s">
        <v>210</v>
      </c>
      <c r="F384" t="s">
        <v>215</v>
      </c>
      <c r="G384">
        <v>30</v>
      </c>
      <c r="H384" s="7">
        <v>45282</v>
      </c>
      <c r="I384" t="s">
        <v>209</v>
      </c>
    </row>
    <row r="385" spans="1:9">
      <c r="A385">
        <v>50384</v>
      </c>
      <c r="B385">
        <v>3031</v>
      </c>
      <c r="C385">
        <v>2005</v>
      </c>
      <c r="D385" s="7">
        <v>45357</v>
      </c>
      <c r="E385" t="s">
        <v>212</v>
      </c>
      <c r="F385" t="s">
        <v>214</v>
      </c>
      <c r="H385" s="7">
        <v>45360</v>
      </c>
      <c r="I385" t="s">
        <v>209</v>
      </c>
    </row>
    <row r="386" spans="1:9">
      <c r="A386">
        <v>50385</v>
      </c>
      <c r="B386">
        <v>3031</v>
      </c>
      <c r="C386">
        <v>2005</v>
      </c>
      <c r="D386" s="7">
        <v>45371</v>
      </c>
      <c r="E386" t="s">
        <v>212</v>
      </c>
      <c r="F386" t="s">
        <v>215</v>
      </c>
      <c r="G386">
        <v>60</v>
      </c>
      <c r="H386" s="7">
        <v>45374</v>
      </c>
      <c r="I386" t="s">
        <v>203</v>
      </c>
    </row>
    <row r="387" spans="1:9">
      <c r="A387">
        <v>50386</v>
      </c>
      <c r="B387">
        <v>3031</v>
      </c>
      <c r="C387">
        <v>2005</v>
      </c>
      <c r="D387" s="7">
        <v>45495</v>
      </c>
      <c r="E387" t="s">
        <v>212</v>
      </c>
      <c r="F387" t="s">
        <v>218</v>
      </c>
      <c r="H387" s="7"/>
      <c r="I387" t="s">
        <v>206</v>
      </c>
    </row>
    <row r="388" spans="1:9">
      <c r="A388">
        <v>50387</v>
      </c>
      <c r="B388">
        <v>3031</v>
      </c>
      <c r="C388">
        <v>2005</v>
      </c>
      <c r="D388" s="7">
        <v>45528</v>
      </c>
      <c r="E388" t="s">
        <v>201</v>
      </c>
      <c r="F388" t="s">
        <v>202</v>
      </c>
      <c r="G388">
        <v>20</v>
      </c>
      <c r="H388" s="7">
        <v>45531</v>
      </c>
      <c r="I388" t="s">
        <v>216</v>
      </c>
    </row>
    <row r="389" spans="1:9">
      <c r="A389">
        <v>50388</v>
      </c>
      <c r="B389">
        <v>3031</v>
      </c>
      <c r="C389">
        <v>2005</v>
      </c>
      <c r="D389" s="7">
        <v>45539</v>
      </c>
      <c r="E389" t="s">
        <v>212</v>
      </c>
      <c r="F389" t="s">
        <v>202</v>
      </c>
      <c r="G389">
        <v>10</v>
      </c>
      <c r="H389" s="7">
        <v>45546</v>
      </c>
      <c r="I389" t="s">
        <v>217</v>
      </c>
    </row>
    <row r="390" spans="1:9">
      <c r="A390">
        <v>50389</v>
      </c>
      <c r="B390">
        <v>3031</v>
      </c>
      <c r="C390">
        <v>2005</v>
      </c>
      <c r="D390" s="7">
        <v>45545</v>
      </c>
      <c r="E390" t="s">
        <v>210</v>
      </c>
      <c r="F390" t="s">
        <v>213</v>
      </c>
      <c r="H390" s="7">
        <v>45575</v>
      </c>
      <c r="I390" t="s">
        <v>206</v>
      </c>
    </row>
    <row r="391" spans="1:9">
      <c r="A391">
        <v>50390</v>
      </c>
      <c r="B391">
        <v>3031</v>
      </c>
      <c r="C391">
        <v>2005</v>
      </c>
      <c r="D391" s="7">
        <v>45581</v>
      </c>
      <c r="E391" t="s">
        <v>204</v>
      </c>
      <c r="F391" t="s">
        <v>214</v>
      </c>
      <c r="H391" s="7">
        <v>45595</v>
      </c>
      <c r="I391" t="s">
        <v>206</v>
      </c>
    </row>
    <row r="392" spans="1:9">
      <c r="A392">
        <v>50391</v>
      </c>
      <c r="B392">
        <v>3031</v>
      </c>
      <c r="C392">
        <v>2005</v>
      </c>
      <c r="D392" s="7">
        <v>45659</v>
      </c>
      <c r="E392" t="s">
        <v>204</v>
      </c>
      <c r="F392" t="s">
        <v>213</v>
      </c>
      <c r="H392" s="7">
        <v>45680</v>
      </c>
      <c r="I392" t="s">
        <v>217</v>
      </c>
    </row>
    <row r="393" spans="1:9">
      <c r="A393">
        <v>50392</v>
      </c>
      <c r="B393">
        <v>3031</v>
      </c>
      <c r="C393">
        <v>2005</v>
      </c>
      <c r="D393" s="7">
        <v>45670</v>
      </c>
      <c r="E393" t="s">
        <v>212</v>
      </c>
      <c r="F393" t="s">
        <v>214</v>
      </c>
      <c r="H393" s="7">
        <v>45677</v>
      </c>
      <c r="I393" t="s">
        <v>203</v>
      </c>
    </row>
    <row r="394" spans="1:9">
      <c r="A394">
        <v>50393</v>
      </c>
      <c r="B394">
        <v>3031</v>
      </c>
      <c r="C394">
        <v>2005</v>
      </c>
      <c r="D394" s="7">
        <v>45682</v>
      </c>
      <c r="E394" t="s">
        <v>219</v>
      </c>
      <c r="F394" t="s">
        <v>213</v>
      </c>
      <c r="H394" s="7">
        <v>45696</v>
      </c>
      <c r="I394" t="s">
        <v>216</v>
      </c>
    </row>
    <row r="395" spans="1:9">
      <c r="A395">
        <v>50394</v>
      </c>
      <c r="B395">
        <v>3031</v>
      </c>
      <c r="C395">
        <v>2005</v>
      </c>
      <c r="D395" s="7">
        <v>45824</v>
      </c>
      <c r="E395" t="s">
        <v>201</v>
      </c>
      <c r="F395" t="s">
        <v>202</v>
      </c>
      <c r="G395">
        <v>20</v>
      </c>
      <c r="H395" s="7">
        <v>45845</v>
      </c>
      <c r="I395" t="s">
        <v>217</v>
      </c>
    </row>
    <row r="396" spans="1:9">
      <c r="A396">
        <v>50395</v>
      </c>
      <c r="B396">
        <v>3031</v>
      </c>
      <c r="C396">
        <v>2005</v>
      </c>
      <c r="D396" s="7">
        <v>45913</v>
      </c>
      <c r="E396" t="s">
        <v>201</v>
      </c>
      <c r="F396" t="s">
        <v>202</v>
      </c>
      <c r="G396">
        <v>90</v>
      </c>
      <c r="H396" s="7">
        <v>45920</v>
      </c>
      <c r="I396" t="s">
        <v>217</v>
      </c>
    </row>
    <row r="397" spans="1:9">
      <c r="A397">
        <v>50396</v>
      </c>
      <c r="B397">
        <v>3031</v>
      </c>
      <c r="C397">
        <v>2005</v>
      </c>
      <c r="D397" s="7">
        <v>45916</v>
      </c>
      <c r="E397" t="s">
        <v>210</v>
      </c>
      <c r="F397" t="s">
        <v>218</v>
      </c>
      <c r="H397" s="7"/>
      <c r="I397" t="s">
        <v>211</v>
      </c>
    </row>
    <row r="398" spans="1:9">
      <c r="A398">
        <v>50397</v>
      </c>
      <c r="B398">
        <v>3031</v>
      </c>
      <c r="C398">
        <v>2005</v>
      </c>
      <c r="D398" s="7">
        <v>46001</v>
      </c>
      <c r="E398" t="s">
        <v>212</v>
      </c>
      <c r="F398" t="s">
        <v>218</v>
      </c>
      <c r="H398" s="7"/>
      <c r="I398" t="s">
        <v>209</v>
      </c>
    </row>
    <row r="399" spans="1:9">
      <c r="A399">
        <v>50398</v>
      </c>
      <c r="B399">
        <v>3031</v>
      </c>
      <c r="C399">
        <v>2005</v>
      </c>
      <c r="D399" s="7">
        <v>46034</v>
      </c>
      <c r="E399" t="s">
        <v>212</v>
      </c>
      <c r="F399" t="s">
        <v>202</v>
      </c>
      <c r="G399">
        <v>15</v>
      </c>
      <c r="H399" s="7">
        <v>46037</v>
      </c>
      <c r="I399" t="s">
        <v>207</v>
      </c>
    </row>
    <row r="400" spans="1:9">
      <c r="A400">
        <v>50399</v>
      </c>
      <c r="B400">
        <v>3031</v>
      </c>
      <c r="C400">
        <v>2005</v>
      </c>
      <c r="D400" s="7">
        <v>46102</v>
      </c>
      <c r="E400" t="s">
        <v>201</v>
      </c>
      <c r="F400" t="s">
        <v>202</v>
      </c>
      <c r="G400">
        <v>20</v>
      </c>
      <c r="H400" s="7">
        <v>46109</v>
      </c>
      <c r="I400" t="s">
        <v>209</v>
      </c>
    </row>
    <row r="401" spans="1:9">
      <c r="A401">
        <v>50400</v>
      </c>
      <c r="B401">
        <v>3031</v>
      </c>
      <c r="C401">
        <v>2005</v>
      </c>
      <c r="D401" s="7">
        <v>46153</v>
      </c>
      <c r="E401" t="s">
        <v>212</v>
      </c>
      <c r="F401" t="s">
        <v>202</v>
      </c>
      <c r="G401">
        <v>60</v>
      </c>
      <c r="H401" s="7">
        <v>46167</v>
      </c>
      <c r="I401" t="s">
        <v>203</v>
      </c>
    </row>
    <row r="402" spans="1:9">
      <c r="A402">
        <v>50401</v>
      </c>
      <c r="B402">
        <v>3032</v>
      </c>
      <c r="C402">
        <v>2003</v>
      </c>
      <c r="D402" s="7">
        <v>45742</v>
      </c>
      <c r="E402" t="s">
        <v>210</v>
      </c>
      <c r="F402" t="s">
        <v>202</v>
      </c>
      <c r="G402">
        <v>30</v>
      </c>
      <c r="H402" s="7">
        <v>45772</v>
      </c>
      <c r="I402" t="s">
        <v>203</v>
      </c>
    </row>
    <row r="403" spans="1:9">
      <c r="A403">
        <v>50402</v>
      </c>
      <c r="B403">
        <v>3032</v>
      </c>
      <c r="C403">
        <v>2003</v>
      </c>
      <c r="D403" s="7">
        <v>45795</v>
      </c>
      <c r="E403" t="s">
        <v>210</v>
      </c>
      <c r="F403" t="s">
        <v>218</v>
      </c>
      <c r="H403" s="7"/>
      <c r="I403" t="s">
        <v>203</v>
      </c>
    </row>
    <row r="404" spans="1:9">
      <c r="A404">
        <v>50403</v>
      </c>
      <c r="B404">
        <v>3032</v>
      </c>
      <c r="C404">
        <v>2003</v>
      </c>
      <c r="D404" s="7">
        <v>45844</v>
      </c>
      <c r="E404" t="s">
        <v>210</v>
      </c>
      <c r="F404" t="s">
        <v>205</v>
      </c>
      <c r="H404" s="7"/>
      <c r="I404" t="s">
        <v>216</v>
      </c>
    </row>
    <row r="405" spans="1:9">
      <c r="A405">
        <v>50404</v>
      </c>
      <c r="B405">
        <v>3032</v>
      </c>
      <c r="C405">
        <v>2003</v>
      </c>
      <c r="D405" s="7">
        <v>45898</v>
      </c>
      <c r="E405" t="s">
        <v>204</v>
      </c>
      <c r="F405" t="s">
        <v>202</v>
      </c>
      <c r="G405">
        <v>60</v>
      </c>
      <c r="H405" s="7">
        <v>45919</v>
      </c>
      <c r="I405" t="s">
        <v>209</v>
      </c>
    </row>
    <row r="406" spans="1:9">
      <c r="A406">
        <v>50405</v>
      </c>
      <c r="B406">
        <v>3032</v>
      </c>
      <c r="C406">
        <v>2003</v>
      </c>
      <c r="D406" s="7">
        <v>45914</v>
      </c>
      <c r="E406" t="s">
        <v>212</v>
      </c>
      <c r="F406" t="s">
        <v>214</v>
      </c>
      <c r="H406" s="7">
        <v>45921</v>
      </c>
      <c r="I406" t="s">
        <v>217</v>
      </c>
    </row>
    <row r="407" spans="1:9">
      <c r="A407">
        <v>50406</v>
      </c>
      <c r="B407">
        <v>3032</v>
      </c>
      <c r="C407">
        <v>2003</v>
      </c>
      <c r="D407" s="7">
        <v>45934</v>
      </c>
      <c r="E407" t="s">
        <v>204</v>
      </c>
      <c r="F407" t="s">
        <v>202</v>
      </c>
      <c r="G407">
        <v>30</v>
      </c>
      <c r="H407" s="7">
        <v>45964</v>
      </c>
      <c r="I407" t="s">
        <v>216</v>
      </c>
    </row>
    <row r="408" spans="1:9">
      <c r="A408">
        <v>50407</v>
      </c>
      <c r="B408">
        <v>3032</v>
      </c>
      <c r="C408">
        <v>2003</v>
      </c>
      <c r="D408" s="7">
        <v>45977</v>
      </c>
      <c r="E408" t="s">
        <v>212</v>
      </c>
      <c r="F408" t="s">
        <v>213</v>
      </c>
      <c r="H408" s="7">
        <v>45984</v>
      </c>
      <c r="I408" t="s">
        <v>217</v>
      </c>
    </row>
    <row r="409" spans="1:9">
      <c r="A409">
        <v>50408</v>
      </c>
      <c r="B409">
        <v>3032</v>
      </c>
      <c r="C409">
        <v>2003</v>
      </c>
      <c r="D409" s="7">
        <v>46014</v>
      </c>
      <c r="E409" t="s">
        <v>210</v>
      </c>
      <c r="F409" t="s">
        <v>213</v>
      </c>
      <c r="H409" s="7">
        <v>46021</v>
      </c>
      <c r="I409" t="s">
        <v>206</v>
      </c>
    </row>
    <row r="410" spans="1:9">
      <c r="A410">
        <v>50409</v>
      </c>
      <c r="B410">
        <v>3032</v>
      </c>
      <c r="C410">
        <v>2003</v>
      </c>
      <c r="D410" s="7">
        <v>46037</v>
      </c>
      <c r="E410" t="s">
        <v>219</v>
      </c>
      <c r="F410" t="s">
        <v>205</v>
      </c>
      <c r="H410" s="7"/>
      <c r="I410" t="s">
        <v>209</v>
      </c>
    </row>
    <row r="411" spans="1:9">
      <c r="A411">
        <v>50410</v>
      </c>
      <c r="B411">
        <v>3032</v>
      </c>
      <c r="C411">
        <v>2003</v>
      </c>
      <c r="D411" s="7">
        <v>46045</v>
      </c>
      <c r="E411" t="s">
        <v>219</v>
      </c>
      <c r="F411" t="s">
        <v>202</v>
      </c>
      <c r="G411">
        <v>20</v>
      </c>
      <c r="H411" s="7">
        <v>46066</v>
      </c>
      <c r="I411" t="s">
        <v>217</v>
      </c>
    </row>
    <row r="412" spans="1:9">
      <c r="A412">
        <v>50411</v>
      </c>
      <c r="B412">
        <v>3032</v>
      </c>
      <c r="C412">
        <v>2003</v>
      </c>
      <c r="D412" s="7">
        <v>46061</v>
      </c>
      <c r="E412" t="s">
        <v>204</v>
      </c>
      <c r="F412" t="s">
        <v>202</v>
      </c>
      <c r="G412">
        <v>10</v>
      </c>
      <c r="H412" s="7">
        <v>46075</v>
      </c>
      <c r="I412" t="s">
        <v>209</v>
      </c>
    </row>
    <row r="413" spans="1:9">
      <c r="A413">
        <v>50412</v>
      </c>
      <c r="B413">
        <v>3033</v>
      </c>
      <c r="C413">
        <v>2018</v>
      </c>
      <c r="D413" s="7">
        <v>45255</v>
      </c>
      <c r="E413" t="s">
        <v>201</v>
      </c>
      <c r="F413" t="s">
        <v>214</v>
      </c>
      <c r="H413" s="7">
        <v>45285</v>
      </c>
      <c r="I413" t="s">
        <v>206</v>
      </c>
    </row>
    <row r="414" spans="1:9">
      <c r="A414">
        <v>50413</v>
      </c>
      <c r="B414">
        <v>3033</v>
      </c>
      <c r="C414">
        <v>2018</v>
      </c>
      <c r="D414" s="7">
        <v>45272</v>
      </c>
      <c r="E414" t="s">
        <v>204</v>
      </c>
      <c r="F414" t="s">
        <v>202</v>
      </c>
      <c r="G414">
        <v>60</v>
      </c>
      <c r="H414" s="7">
        <v>45286</v>
      </c>
      <c r="I414" t="s">
        <v>209</v>
      </c>
    </row>
    <row r="415" spans="1:9">
      <c r="A415">
        <v>50414</v>
      </c>
      <c r="B415">
        <v>3033</v>
      </c>
      <c r="C415">
        <v>2018</v>
      </c>
      <c r="D415" s="7">
        <v>45468</v>
      </c>
      <c r="E415" t="s">
        <v>212</v>
      </c>
      <c r="F415" t="s">
        <v>202</v>
      </c>
      <c r="G415">
        <v>30</v>
      </c>
      <c r="H415" s="7">
        <v>45498</v>
      </c>
      <c r="I415" t="s">
        <v>211</v>
      </c>
    </row>
    <row r="416" spans="1:9">
      <c r="A416">
        <v>50415</v>
      </c>
      <c r="B416">
        <v>3033</v>
      </c>
      <c r="C416">
        <v>2018</v>
      </c>
      <c r="D416" s="7">
        <v>45565</v>
      </c>
      <c r="E416" t="s">
        <v>212</v>
      </c>
      <c r="F416" t="s">
        <v>202</v>
      </c>
      <c r="G416">
        <v>60</v>
      </c>
      <c r="H416" s="7">
        <v>45586</v>
      </c>
      <c r="I416" t="s">
        <v>211</v>
      </c>
    </row>
    <row r="417" spans="1:9">
      <c r="A417">
        <v>50416</v>
      </c>
      <c r="B417">
        <v>3033</v>
      </c>
      <c r="C417">
        <v>2018</v>
      </c>
      <c r="D417" s="7">
        <v>45570</v>
      </c>
      <c r="E417" t="s">
        <v>212</v>
      </c>
      <c r="F417" t="s">
        <v>202</v>
      </c>
      <c r="G417">
        <v>45</v>
      </c>
      <c r="H417" s="7">
        <v>45573</v>
      </c>
      <c r="I417" t="s">
        <v>203</v>
      </c>
    </row>
    <row r="418" spans="1:9">
      <c r="A418">
        <v>50417</v>
      </c>
      <c r="B418">
        <v>3033</v>
      </c>
      <c r="C418">
        <v>2018</v>
      </c>
      <c r="D418" s="7">
        <v>45573</v>
      </c>
      <c r="E418" t="s">
        <v>204</v>
      </c>
      <c r="F418" t="s">
        <v>202</v>
      </c>
      <c r="G418">
        <v>10</v>
      </c>
      <c r="H418" s="7">
        <v>45580</v>
      </c>
      <c r="I418" t="s">
        <v>209</v>
      </c>
    </row>
    <row r="419" spans="1:9">
      <c r="A419">
        <v>50418</v>
      </c>
      <c r="B419">
        <v>3033</v>
      </c>
      <c r="C419">
        <v>2018</v>
      </c>
      <c r="D419" s="7">
        <v>45598</v>
      </c>
      <c r="E419" t="s">
        <v>212</v>
      </c>
      <c r="F419" t="s">
        <v>202</v>
      </c>
      <c r="G419">
        <v>90</v>
      </c>
      <c r="H419" s="7">
        <v>45619</v>
      </c>
      <c r="I419" t="s">
        <v>211</v>
      </c>
    </row>
    <row r="420" spans="1:9">
      <c r="A420">
        <v>50419</v>
      </c>
      <c r="B420">
        <v>3033</v>
      </c>
      <c r="C420">
        <v>2018</v>
      </c>
      <c r="D420" s="7">
        <v>45627</v>
      </c>
      <c r="E420" t="s">
        <v>204</v>
      </c>
      <c r="F420" t="s">
        <v>214</v>
      </c>
      <c r="H420" s="7">
        <v>45641</v>
      </c>
      <c r="I420" t="s">
        <v>209</v>
      </c>
    </row>
    <row r="421" spans="1:9">
      <c r="A421">
        <v>50420</v>
      </c>
      <c r="B421">
        <v>3033</v>
      </c>
      <c r="C421">
        <v>2018</v>
      </c>
      <c r="D421" s="7">
        <v>46047</v>
      </c>
      <c r="E421" t="s">
        <v>210</v>
      </c>
      <c r="F421" t="s">
        <v>202</v>
      </c>
      <c r="G421">
        <v>45</v>
      </c>
      <c r="H421" s="7">
        <v>46054</v>
      </c>
      <c r="I421" t="s">
        <v>216</v>
      </c>
    </row>
    <row r="422" spans="1:9">
      <c r="A422">
        <v>50421</v>
      </c>
      <c r="B422">
        <v>3033</v>
      </c>
      <c r="C422">
        <v>2018</v>
      </c>
      <c r="D422" s="7">
        <v>46123</v>
      </c>
      <c r="E422" t="s">
        <v>201</v>
      </c>
      <c r="F422" t="s">
        <v>202</v>
      </c>
      <c r="G422">
        <v>10</v>
      </c>
      <c r="H422" s="7">
        <v>46137</v>
      </c>
      <c r="I422" t="s">
        <v>207</v>
      </c>
    </row>
    <row r="423" spans="1:9">
      <c r="A423">
        <v>50422</v>
      </c>
      <c r="B423">
        <v>3033</v>
      </c>
      <c r="C423">
        <v>2018</v>
      </c>
      <c r="D423" s="7">
        <v>46129</v>
      </c>
      <c r="E423" t="s">
        <v>219</v>
      </c>
      <c r="F423" t="s">
        <v>213</v>
      </c>
      <c r="H423" s="7">
        <v>46136</v>
      </c>
      <c r="I423" t="s">
        <v>207</v>
      </c>
    </row>
    <row r="424" spans="1:9">
      <c r="A424">
        <v>50423</v>
      </c>
      <c r="B424">
        <v>3033</v>
      </c>
      <c r="C424">
        <v>2018</v>
      </c>
      <c r="D424" s="7">
        <v>46177</v>
      </c>
      <c r="E424" t="s">
        <v>210</v>
      </c>
      <c r="F424" t="s">
        <v>202</v>
      </c>
      <c r="G424">
        <v>60</v>
      </c>
      <c r="H424" s="7">
        <v>46184</v>
      </c>
      <c r="I424" t="s">
        <v>216</v>
      </c>
    </row>
    <row r="425" spans="1:9">
      <c r="A425">
        <v>50424</v>
      </c>
      <c r="B425">
        <v>3033</v>
      </c>
      <c r="C425">
        <v>2018</v>
      </c>
      <c r="D425" s="7">
        <v>46182</v>
      </c>
      <c r="E425" t="s">
        <v>201</v>
      </c>
      <c r="F425" t="s">
        <v>214</v>
      </c>
      <c r="H425" s="7">
        <v>46203</v>
      </c>
      <c r="I425" t="s">
        <v>203</v>
      </c>
    </row>
    <row r="426" spans="1:9">
      <c r="A426">
        <v>50425</v>
      </c>
      <c r="B426">
        <v>3033</v>
      </c>
      <c r="C426">
        <v>2018</v>
      </c>
      <c r="D426" s="7">
        <v>46207</v>
      </c>
      <c r="E426" t="s">
        <v>204</v>
      </c>
      <c r="F426" t="s">
        <v>214</v>
      </c>
      <c r="H426" s="7"/>
      <c r="I426" t="s">
        <v>209</v>
      </c>
    </row>
    <row r="427" spans="1:9">
      <c r="A427">
        <v>50426</v>
      </c>
      <c r="B427">
        <v>3034</v>
      </c>
      <c r="C427">
        <v>2002</v>
      </c>
      <c r="D427" s="7">
        <v>45536</v>
      </c>
      <c r="E427" t="s">
        <v>212</v>
      </c>
      <c r="F427" t="s">
        <v>202</v>
      </c>
      <c r="G427">
        <v>20</v>
      </c>
      <c r="H427" s="7">
        <v>45539</v>
      </c>
      <c r="I427" t="s">
        <v>217</v>
      </c>
    </row>
    <row r="428" spans="1:9">
      <c r="A428">
        <v>50427</v>
      </c>
      <c r="B428">
        <v>3034</v>
      </c>
      <c r="C428">
        <v>2002</v>
      </c>
      <c r="D428" s="7">
        <v>45546</v>
      </c>
      <c r="E428" t="s">
        <v>212</v>
      </c>
      <c r="F428" t="s">
        <v>202</v>
      </c>
      <c r="G428">
        <v>10</v>
      </c>
      <c r="H428" s="7">
        <v>45549</v>
      </c>
      <c r="I428" t="s">
        <v>211</v>
      </c>
    </row>
    <row r="429" spans="1:9">
      <c r="A429">
        <v>50428</v>
      </c>
      <c r="B429">
        <v>3034</v>
      </c>
      <c r="C429">
        <v>2002</v>
      </c>
      <c r="D429" s="7">
        <v>45653</v>
      </c>
      <c r="E429" t="s">
        <v>204</v>
      </c>
      <c r="F429" t="s">
        <v>214</v>
      </c>
      <c r="H429" s="7">
        <v>45683</v>
      </c>
      <c r="I429" t="s">
        <v>207</v>
      </c>
    </row>
    <row r="430" spans="1:9">
      <c r="A430">
        <v>50429</v>
      </c>
      <c r="B430">
        <v>3034</v>
      </c>
      <c r="C430">
        <v>2002</v>
      </c>
      <c r="D430" s="7">
        <v>45670</v>
      </c>
      <c r="E430" t="s">
        <v>212</v>
      </c>
      <c r="F430" t="s">
        <v>214</v>
      </c>
      <c r="H430" s="7">
        <v>45677</v>
      </c>
      <c r="I430" t="s">
        <v>203</v>
      </c>
    </row>
    <row r="431" spans="1:9">
      <c r="A431">
        <v>50430</v>
      </c>
      <c r="B431">
        <v>3034</v>
      </c>
      <c r="C431">
        <v>2002</v>
      </c>
      <c r="D431" s="7">
        <v>45927</v>
      </c>
      <c r="E431" t="s">
        <v>210</v>
      </c>
      <c r="F431" t="s">
        <v>214</v>
      </c>
      <c r="H431" s="7">
        <v>45941</v>
      </c>
      <c r="I431" t="s">
        <v>209</v>
      </c>
    </row>
    <row r="432" spans="1:9">
      <c r="A432">
        <v>50431</v>
      </c>
      <c r="B432">
        <v>3034</v>
      </c>
      <c r="C432">
        <v>2002</v>
      </c>
      <c r="D432" s="7">
        <v>45969</v>
      </c>
      <c r="E432" t="s">
        <v>212</v>
      </c>
      <c r="F432" t="s">
        <v>202</v>
      </c>
      <c r="G432">
        <v>90</v>
      </c>
      <c r="H432" s="7">
        <v>45983</v>
      </c>
      <c r="I432" t="s">
        <v>209</v>
      </c>
    </row>
    <row r="433" spans="1:9">
      <c r="A433">
        <v>50432</v>
      </c>
      <c r="B433">
        <v>3034</v>
      </c>
      <c r="C433">
        <v>2002</v>
      </c>
      <c r="D433" s="7">
        <v>46008</v>
      </c>
      <c r="E433" t="s">
        <v>210</v>
      </c>
      <c r="F433" t="s">
        <v>202</v>
      </c>
      <c r="G433">
        <v>30</v>
      </c>
      <c r="H433" s="7">
        <v>46029</v>
      </c>
      <c r="I433" t="s">
        <v>206</v>
      </c>
    </row>
    <row r="434" spans="1:9">
      <c r="A434">
        <v>50433</v>
      </c>
      <c r="B434">
        <v>3034</v>
      </c>
      <c r="C434">
        <v>2002</v>
      </c>
      <c r="D434" s="7">
        <v>46027</v>
      </c>
      <c r="E434" t="s">
        <v>208</v>
      </c>
      <c r="F434" t="s">
        <v>202</v>
      </c>
      <c r="G434">
        <v>15</v>
      </c>
      <c r="H434" s="7">
        <v>46030</v>
      </c>
      <c r="I434" t="s">
        <v>217</v>
      </c>
    </row>
    <row r="435" spans="1:9">
      <c r="A435">
        <v>50434</v>
      </c>
      <c r="B435">
        <v>3034</v>
      </c>
      <c r="C435">
        <v>2002</v>
      </c>
      <c r="D435" s="7">
        <v>46035</v>
      </c>
      <c r="E435" t="s">
        <v>204</v>
      </c>
      <c r="F435" t="s">
        <v>202</v>
      </c>
      <c r="G435">
        <v>30</v>
      </c>
      <c r="H435" s="7">
        <v>46056</v>
      </c>
      <c r="I435" t="s">
        <v>207</v>
      </c>
    </row>
    <row r="436" spans="1:9">
      <c r="A436">
        <v>50435</v>
      </c>
      <c r="B436">
        <v>3035</v>
      </c>
      <c r="C436">
        <v>2002</v>
      </c>
      <c r="D436" s="7">
        <v>46001</v>
      </c>
      <c r="E436" t="s">
        <v>212</v>
      </c>
      <c r="F436" t="s">
        <v>202</v>
      </c>
      <c r="G436">
        <v>30</v>
      </c>
      <c r="H436" s="7">
        <v>46015</v>
      </c>
      <c r="I436" t="s">
        <v>206</v>
      </c>
    </row>
    <row r="437" spans="1:9">
      <c r="A437">
        <v>50436</v>
      </c>
      <c r="B437">
        <v>3035</v>
      </c>
      <c r="C437">
        <v>2002</v>
      </c>
      <c r="D437" s="7">
        <v>46030</v>
      </c>
      <c r="E437" t="s">
        <v>212</v>
      </c>
      <c r="F437" t="s">
        <v>213</v>
      </c>
      <c r="H437" s="7">
        <v>46051</v>
      </c>
      <c r="I437" t="s">
        <v>217</v>
      </c>
    </row>
    <row r="438" spans="1:9">
      <c r="A438">
        <v>50437</v>
      </c>
      <c r="B438">
        <v>3035</v>
      </c>
      <c r="C438">
        <v>2002</v>
      </c>
      <c r="D438" s="7">
        <v>46031</v>
      </c>
      <c r="E438" t="s">
        <v>201</v>
      </c>
      <c r="F438" t="s">
        <v>202</v>
      </c>
      <c r="G438">
        <v>45</v>
      </c>
      <c r="H438" s="7">
        <v>46038</v>
      </c>
      <c r="I438" t="s">
        <v>207</v>
      </c>
    </row>
    <row r="439" spans="1:9">
      <c r="A439">
        <v>50438</v>
      </c>
      <c r="B439">
        <v>3035</v>
      </c>
      <c r="C439">
        <v>2002</v>
      </c>
      <c r="D439" s="7">
        <v>46040</v>
      </c>
      <c r="E439" t="s">
        <v>219</v>
      </c>
      <c r="F439" t="s">
        <v>202</v>
      </c>
      <c r="G439">
        <v>45</v>
      </c>
      <c r="H439" s="7">
        <v>46043</v>
      </c>
      <c r="I439" t="s">
        <v>216</v>
      </c>
    </row>
    <row r="440" spans="1:9">
      <c r="A440">
        <v>50439</v>
      </c>
      <c r="B440">
        <v>3035</v>
      </c>
      <c r="C440">
        <v>2002</v>
      </c>
      <c r="D440" s="7">
        <v>46078</v>
      </c>
      <c r="E440" t="s">
        <v>219</v>
      </c>
      <c r="F440" t="s">
        <v>215</v>
      </c>
      <c r="G440">
        <v>30</v>
      </c>
      <c r="H440" s="7">
        <v>46092</v>
      </c>
      <c r="I440" t="s">
        <v>207</v>
      </c>
    </row>
    <row r="441" spans="1:9">
      <c r="A441">
        <v>50440</v>
      </c>
      <c r="B441">
        <v>3035</v>
      </c>
      <c r="C441">
        <v>2002</v>
      </c>
      <c r="D441" s="7">
        <v>46084</v>
      </c>
      <c r="E441" t="s">
        <v>204</v>
      </c>
      <c r="F441" t="s">
        <v>202</v>
      </c>
      <c r="G441">
        <v>45</v>
      </c>
      <c r="H441" s="7">
        <v>46098</v>
      </c>
      <c r="I441" t="s">
        <v>209</v>
      </c>
    </row>
    <row r="442" spans="1:9">
      <c r="A442">
        <v>50441</v>
      </c>
      <c r="B442">
        <v>3035</v>
      </c>
      <c r="C442">
        <v>2002</v>
      </c>
      <c r="D442" s="7">
        <v>46088</v>
      </c>
      <c r="E442" t="s">
        <v>212</v>
      </c>
      <c r="F442" t="s">
        <v>213</v>
      </c>
      <c r="H442" s="7">
        <v>46118</v>
      </c>
      <c r="I442" t="s">
        <v>209</v>
      </c>
    </row>
    <row r="443" spans="1:9">
      <c r="A443">
        <v>50442</v>
      </c>
      <c r="B443">
        <v>3035</v>
      </c>
      <c r="C443">
        <v>2002</v>
      </c>
      <c r="D443" s="7">
        <v>46091</v>
      </c>
      <c r="E443" t="s">
        <v>201</v>
      </c>
      <c r="F443" t="s">
        <v>202</v>
      </c>
      <c r="G443">
        <v>60</v>
      </c>
      <c r="H443" s="7">
        <v>46121</v>
      </c>
      <c r="I443" t="s">
        <v>211</v>
      </c>
    </row>
    <row r="444" spans="1:9">
      <c r="A444">
        <v>50443</v>
      </c>
      <c r="B444">
        <v>3035</v>
      </c>
      <c r="C444">
        <v>2002</v>
      </c>
      <c r="D444" s="7">
        <v>46127</v>
      </c>
      <c r="E444" t="s">
        <v>212</v>
      </c>
      <c r="F444" t="s">
        <v>213</v>
      </c>
      <c r="H444" s="7">
        <v>46134</v>
      </c>
      <c r="I444" t="s">
        <v>203</v>
      </c>
    </row>
    <row r="445" spans="1:9">
      <c r="A445">
        <v>50444</v>
      </c>
      <c r="B445">
        <v>3035</v>
      </c>
      <c r="C445">
        <v>2002</v>
      </c>
      <c r="D445" s="7">
        <v>46188</v>
      </c>
      <c r="E445" t="s">
        <v>204</v>
      </c>
      <c r="F445" t="s">
        <v>202</v>
      </c>
      <c r="G445">
        <v>45</v>
      </c>
      <c r="H445" s="7">
        <v>46195</v>
      </c>
      <c r="I445" t="s">
        <v>207</v>
      </c>
    </row>
    <row r="446" spans="1:9">
      <c r="A446">
        <v>50445</v>
      </c>
      <c r="B446">
        <v>3035</v>
      </c>
      <c r="C446">
        <v>2002</v>
      </c>
      <c r="D446" s="7">
        <v>46190</v>
      </c>
      <c r="E446" t="s">
        <v>212</v>
      </c>
      <c r="F446" t="s">
        <v>218</v>
      </c>
      <c r="H446" s="7"/>
      <c r="I446" t="s">
        <v>209</v>
      </c>
    </row>
    <row r="447" spans="1:9">
      <c r="A447">
        <v>50446</v>
      </c>
      <c r="B447">
        <v>3035</v>
      </c>
      <c r="C447">
        <v>2002</v>
      </c>
      <c r="D447" s="7">
        <v>46197</v>
      </c>
      <c r="E447" t="s">
        <v>201</v>
      </c>
      <c r="F447" t="s">
        <v>202</v>
      </c>
      <c r="G447">
        <v>45</v>
      </c>
      <c r="H447" s="7">
        <v>46204</v>
      </c>
      <c r="I447" t="s">
        <v>203</v>
      </c>
    </row>
    <row r="448" spans="1:9">
      <c r="A448">
        <v>50447</v>
      </c>
      <c r="B448">
        <v>3035</v>
      </c>
      <c r="C448">
        <v>2002</v>
      </c>
      <c r="D448" s="7">
        <v>46206</v>
      </c>
      <c r="E448" t="s">
        <v>201</v>
      </c>
      <c r="F448" t="s">
        <v>202</v>
      </c>
      <c r="G448">
        <v>30</v>
      </c>
      <c r="H448" s="7"/>
      <c r="I448" t="s">
        <v>217</v>
      </c>
    </row>
    <row r="449" spans="1:9">
      <c r="A449">
        <v>50448</v>
      </c>
      <c r="B449">
        <v>3036</v>
      </c>
      <c r="C449">
        <v>2013</v>
      </c>
      <c r="D449" s="7">
        <v>45995</v>
      </c>
      <c r="E449" t="s">
        <v>219</v>
      </c>
      <c r="F449" t="s">
        <v>215</v>
      </c>
      <c r="G449">
        <v>20</v>
      </c>
      <c r="H449" s="7">
        <v>46002</v>
      </c>
      <c r="I449" t="s">
        <v>206</v>
      </c>
    </row>
    <row r="450" spans="1:9">
      <c r="A450">
        <v>50449</v>
      </c>
      <c r="B450">
        <v>3036</v>
      </c>
      <c r="C450">
        <v>2013</v>
      </c>
      <c r="D450" s="7">
        <v>46002</v>
      </c>
      <c r="E450" t="s">
        <v>201</v>
      </c>
      <c r="F450" t="s">
        <v>202</v>
      </c>
      <c r="G450">
        <v>15</v>
      </c>
      <c r="H450" s="7">
        <v>46016</v>
      </c>
      <c r="I450" t="s">
        <v>207</v>
      </c>
    </row>
    <row r="451" spans="1:9">
      <c r="A451">
        <v>50450</v>
      </c>
      <c r="B451">
        <v>3036</v>
      </c>
      <c r="C451">
        <v>2013</v>
      </c>
      <c r="D451" s="7">
        <v>46061</v>
      </c>
      <c r="E451" t="s">
        <v>212</v>
      </c>
      <c r="F451" t="s">
        <v>202</v>
      </c>
      <c r="G451">
        <v>20</v>
      </c>
      <c r="H451" s="7">
        <v>46064</v>
      </c>
      <c r="I451" t="s">
        <v>211</v>
      </c>
    </row>
    <row r="452" spans="1:9">
      <c r="A452">
        <v>50451</v>
      </c>
      <c r="B452">
        <v>3036</v>
      </c>
      <c r="C452">
        <v>2013</v>
      </c>
      <c r="D452" s="7">
        <v>46069</v>
      </c>
      <c r="E452" t="s">
        <v>208</v>
      </c>
      <c r="F452" t="s">
        <v>202</v>
      </c>
      <c r="G452">
        <v>30</v>
      </c>
      <c r="H452" s="7">
        <v>46083</v>
      </c>
      <c r="I452" t="s">
        <v>217</v>
      </c>
    </row>
    <row r="453" spans="1:9">
      <c r="A453">
        <v>50452</v>
      </c>
      <c r="B453">
        <v>3036</v>
      </c>
      <c r="C453">
        <v>2013</v>
      </c>
      <c r="D453" s="7">
        <v>46074</v>
      </c>
      <c r="E453" t="s">
        <v>204</v>
      </c>
      <c r="F453" t="s">
        <v>202</v>
      </c>
      <c r="G453">
        <v>20</v>
      </c>
      <c r="H453" s="7">
        <v>46077</v>
      </c>
      <c r="I453" t="s">
        <v>216</v>
      </c>
    </row>
    <row r="454" spans="1:9">
      <c r="A454">
        <v>50453</v>
      </c>
      <c r="B454">
        <v>3036</v>
      </c>
      <c r="C454">
        <v>2013</v>
      </c>
      <c r="D454" s="7">
        <v>46075</v>
      </c>
      <c r="E454" t="s">
        <v>212</v>
      </c>
      <c r="F454" t="s">
        <v>202</v>
      </c>
      <c r="G454">
        <v>20</v>
      </c>
      <c r="H454" s="7">
        <v>46089</v>
      </c>
      <c r="I454" t="s">
        <v>209</v>
      </c>
    </row>
    <row r="455" spans="1:9">
      <c r="A455">
        <v>50454</v>
      </c>
      <c r="B455">
        <v>3036</v>
      </c>
      <c r="C455">
        <v>2013</v>
      </c>
      <c r="D455" s="7">
        <v>46093</v>
      </c>
      <c r="E455" t="s">
        <v>212</v>
      </c>
      <c r="F455" t="s">
        <v>202</v>
      </c>
      <c r="G455">
        <v>60</v>
      </c>
      <c r="H455" s="7">
        <v>46096</v>
      </c>
      <c r="I455" t="s">
        <v>206</v>
      </c>
    </row>
    <row r="456" spans="1:9">
      <c r="A456">
        <v>50455</v>
      </c>
      <c r="B456">
        <v>3036</v>
      </c>
      <c r="C456">
        <v>2013</v>
      </c>
      <c r="D456" s="7">
        <v>46095</v>
      </c>
      <c r="E456" t="s">
        <v>201</v>
      </c>
      <c r="F456" t="s">
        <v>215</v>
      </c>
      <c r="G456">
        <v>90</v>
      </c>
      <c r="H456" s="7">
        <v>46125</v>
      </c>
      <c r="I456" t="s">
        <v>207</v>
      </c>
    </row>
    <row r="457" spans="1:9">
      <c r="A457">
        <v>50456</v>
      </c>
      <c r="B457">
        <v>3036</v>
      </c>
      <c r="C457">
        <v>2013</v>
      </c>
      <c r="D457" s="7">
        <v>46118</v>
      </c>
      <c r="E457" t="s">
        <v>219</v>
      </c>
      <c r="F457" t="s">
        <v>202</v>
      </c>
      <c r="G457">
        <v>15</v>
      </c>
      <c r="H457" s="7">
        <v>46132</v>
      </c>
      <c r="I457" t="s">
        <v>211</v>
      </c>
    </row>
    <row r="458" spans="1:9">
      <c r="A458">
        <v>50457</v>
      </c>
      <c r="B458">
        <v>3036</v>
      </c>
      <c r="C458">
        <v>2013</v>
      </c>
      <c r="D458" s="7">
        <v>46132</v>
      </c>
      <c r="E458" t="s">
        <v>219</v>
      </c>
      <c r="F458" t="s">
        <v>202</v>
      </c>
      <c r="G458">
        <v>30</v>
      </c>
      <c r="H458" s="7">
        <v>46162</v>
      </c>
      <c r="I458" t="s">
        <v>211</v>
      </c>
    </row>
    <row r="459" spans="1:9">
      <c r="A459">
        <v>50458</v>
      </c>
      <c r="B459">
        <v>3036</v>
      </c>
      <c r="C459">
        <v>2013</v>
      </c>
      <c r="D459" s="7">
        <v>46134</v>
      </c>
      <c r="E459" t="s">
        <v>204</v>
      </c>
      <c r="F459" t="s">
        <v>202</v>
      </c>
      <c r="G459">
        <v>60</v>
      </c>
      <c r="H459" s="7">
        <v>46155</v>
      </c>
      <c r="I459" t="s">
        <v>207</v>
      </c>
    </row>
    <row r="460" spans="1:9">
      <c r="A460">
        <v>50459</v>
      </c>
      <c r="B460">
        <v>3036</v>
      </c>
      <c r="C460">
        <v>2013</v>
      </c>
      <c r="D460" s="7">
        <v>46147</v>
      </c>
      <c r="E460" t="s">
        <v>212</v>
      </c>
      <c r="F460" t="s">
        <v>202</v>
      </c>
      <c r="G460">
        <v>15</v>
      </c>
      <c r="H460" s="7">
        <v>46154</v>
      </c>
      <c r="I460" t="s">
        <v>211</v>
      </c>
    </row>
    <row r="461" spans="1:9">
      <c r="A461">
        <v>50460</v>
      </c>
      <c r="B461">
        <v>3036</v>
      </c>
      <c r="C461">
        <v>2013</v>
      </c>
      <c r="D461" s="7">
        <v>46164</v>
      </c>
      <c r="E461" t="s">
        <v>212</v>
      </c>
      <c r="F461" t="s">
        <v>205</v>
      </c>
      <c r="H461" s="7"/>
      <c r="I461" t="s">
        <v>209</v>
      </c>
    </row>
    <row r="462" spans="1:9">
      <c r="A462">
        <v>50461</v>
      </c>
      <c r="B462">
        <v>3036</v>
      </c>
      <c r="C462">
        <v>2013</v>
      </c>
      <c r="D462" s="7">
        <v>46182</v>
      </c>
      <c r="E462" t="s">
        <v>201</v>
      </c>
      <c r="F462" t="s">
        <v>214</v>
      </c>
      <c r="H462" s="7">
        <v>46196</v>
      </c>
      <c r="I462" t="s">
        <v>217</v>
      </c>
    </row>
    <row r="463" spans="1:9">
      <c r="A463">
        <v>50462</v>
      </c>
      <c r="B463">
        <v>3036</v>
      </c>
      <c r="C463">
        <v>2013</v>
      </c>
      <c r="D463" s="7">
        <v>46201</v>
      </c>
      <c r="E463" t="s">
        <v>204</v>
      </c>
      <c r="F463" t="s">
        <v>202</v>
      </c>
      <c r="G463">
        <v>90</v>
      </c>
      <c r="H463" s="7">
        <v>46208</v>
      </c>
      <c r="I463" t="s">
        <v>209</v>
      </c>
    </row>
    <row r="464" spans="1:9">
      <c r="A464">
        <v>50463</v>
      </c>
      <c r="B464">
        <v>3037</v>
      </c>
      <c r="C464">
        <v>2015</v>
      </c>
      <c r="D464" s="7">
        <v>45635</v>
      </c>
      <c r="E464" t="s">
        <v>210</v>
      </c>
      <c r="F464" t="s">
        <v>214</v>
      </c>
      <c r="H464" s="7">
        <v>45642</v>
      </c>
      <c r="I464" t="s">
        <v>207</v>
      </c>
    </row>
    <row r="465" spans="1:9">
      <c r="A465">
        <v>50464</v>
      </c>
      <c r="B465">
        <v>3037</v>
      </c>
      <c r="C465">
        <v>2015</v>
      </c>
      <c r="D465" s="7">
        <v>45662</v>
      </c>
      <c r="E465" t="s">
        <v>201</v>
      </c>
      <c r="F465" t="s">
        <v>214</v>
      </c>
      <c r="H465" s="7">
        <v>45669</v>
      </c>
      <c r="I465" t="s">
        <v>209</v>
      </c>
    </row>
    <row r="466" spans="1:9">
      <c r="A466">
        <v>50465</v>
      </c>
      <c r="B466">
        <v>3037</v>
      </c>
      <c r="C466">
        <v>2015</v>
      </c>
      <c r="D466" s="7">
        <v>45789</v>
      </c>
      <c r="E466" t="s">
        <v>210</v>
      </c>
      <c r="F466" t="s">
        <v>213</v>
      </c>
      <c r="H466" s="7">
        <v>45810</v>
      </c>
      <c r="I466" t="s">
        <v>206</v>
      </c>
    </row>
    <row r="467" spans="1:9">
      <c r="A467">
        <v>50466</v>
      </c>
      <c r="B467">
        <v>3037</v>
      </c>
      <c r="C467">
        <v>2015</v>
      </c>
      <c r="D467" s="7">
        <v>45818</v>
      </c>
      <c r="E467" t="s">
        <v>212</v>
      </c>
      <c r="F467" t="s">
        <v>205</v>
      </c>
      <c r="H467" s="7"/>
      <c r="I467" t="s">
        <v>206</v>
      </c>
    </row>
    <row r="468" spans="1:9">
      <c r="A468">
        <v>50467</v>
      </c>
      <c r="B468">
        <v>3037</v>
      </c>
      <c r="C468">
        <v>2015</v>
      </c>
      <c r="D468" s="7">
        <v>45839</v>
      </c>
      <c r="E468" t="s">
        <v>212</v>
      </c>
      <c r="F468" t="s">
        <v>202</v>
      </c>
      <c r="G468">
        <v>15</v>
      </c>
      <c r="H468" s="7">
        <v>45846</v>
      </c>
      <c r="I468" t="s">
        <v>207</v>
      </c>
    </row>
    <row r="469" spans="1:9">
      <c r="A469">
        <v>50468</v>
      </c>
      <c r="B469">
        <v>3037</v>
      </c>
      <c r="C469">
        <v>2015</v>
      </c>
      <c r="D469" s="7">
        <v>45903</v>
      </c>
      <c r="E469" t="s">
        <v>212</v>
      </c>
      <c r="F469" t="s">
        <v>202</v>
      </c>
      <c r="G469">
        <v>60</v>
      </c>
      <c r="H469" s="7">
        <v>45924</v>
      </c>
      <c r="I469" t="s">
        <v>206</v>
      </c>
    </row>
    <row r="470" spans="1:9">
      <c r="A470">
        <v>50469</v>
      </c>
      <c r="B470">
        <v>3037</v>
      </c>
      <c r="C470">
        <v>2015</v>
      </c>
      <c r="D470" s="7">
        <v>46047</v>
      </c>
      <c r="E470" t="s">
        <v>204</v>
      </c>
      <c r="F470" t="s">
        <v>218</v>
      </c>
      <c r="H470" s="7"/>
      <c r="I470" t="s">
        <v>216</v>
      </c>
    </row>
    <row r="471" spans="1:9">
      <c r="A471">
        <v>50470</v>
      </c>
      <c r="B471">
        <v>3038</v>
      </c>
      <c r="C471">
        <v>2006</v>
      </c>
      <c r="D471" s="7">
        <v>45390</v>
      </c>
      <c r="E471" t="s">
        <v>204</v>
      </c>
      <c r="F471" t="s">
        <v>213</v>
      </c>
      <c r="H471" s="7">
        <v>45420</v>
      </c>
      <c r="I471" t="s">
        <v>209</v>
      </c>
    </row>
    <row r="472" spans="1:9">
      <c r="A472">
        <v>50471</v>
      </c>
      <c r="B472">
        <v>3038</v>
      </c>
      <c r="C472">
        <v>2006</v>
      </c>
      <c r="D472" s="7">
        <v>45400</v>
      </c>
      <c r="E472" t="s">
        <v>219</v>
      </c>
      <c r="F472" t="s">
        <v>202</v>
      </c>
      <c r="G472">
        <v>10</v>
      </c>
      <c r="H472" s="7">
        <v>45403</v>
      </c>
      <c r="I472" t="s">
        <v>207</v>
      </c>
    </row>
    <row r="473" spans="1:9">
      <c r="A473">
        <v>50472</v>
      </c>
      <c r="B473">
        <v>3038</v>
      </c>
      <c r="C473">
        <v>2006</v>
      </c>
      <c r="D473" s="7">
        <v>45439</v>
      </c>
      <c r="E473" t="s">
        <v>219</v>
      </c>
      <c r="F473" t="s">
        <v>202</v>
      </c>
      <c r="G473">
        <v>10</v>
      </c>
      <c r="H473" s="7">
        <v>45446</v>
      </c>
      <c r="I473" t="s">
        <v>209</v>
      </c>
    </row>
    <row r="474" spans="1:9">
      <c r="A474">
        <v>50473</v>
      </c>
      <c r="B474">
        <v>3038</v>
      </c>
      <c r="C474">
        <v>2006</v>
      </c>
      <c r="D474" s="7">
        <v>45468</v>
      </c>
      <c r="E474" t="s">
        <v>212</v>
      </c>
      <c r="F474" t="s">
        <v>202</v>
      </c>
      <c r="G474">
        <v>30</v>
      </c>
      <c r="H474" s="7">
        <v>45482</v>
      </c>
      <c r="I474" t="s">
        <v>206</v>
      </c>
    </row>
    <row r="475" spans="1:9">
      <c r="A475">
        <v>50474</v>
      </c>
      <c r="B475">
        <v>3038</v>
      </c>
      <c r="C475">
        <v>2006</v>
      </c>
      <c r="D475" s="7">
        <v>45569</v>
      </c>
      <c r="E475" t="s">
        <v>212</v>
      </c>
      <c r="F475" t="s">
        <v>205</v>
      </c>
      <c r="H475" s="7"/>
      <c r="I475" t="s">
        <v>217</v>
      </c>
    </row>
    <row r="476" spans="1:9">
      <c r="A476">
        <v>50475</v>
      </c>
      <c r="B476">
        <v>3038</v>
      </c>
      <c r="C476">
        <v>2006</v>
      </c>
      <c r="D476" s="7">
        <v>45636</v>
      </c>
      <c r="E476" t="s">
        <v>212</v>
      </c>
      <c r="F476" t="s">
        <v>215</v>
      </c>
      <c r="G476">
        <v>30</v>
      </c>
      <c r="H476" s="7">
        <v>45650</v>
      </c>
      <c r="I476" t="s">
        <v>207</v>
      </c>
    </row>
    <row r="477" spans="1:9">
      <c r="A477">
        <v>50476</v>
      </c>
      <c r="B477">
        <v>3038</v>
      </c>
      <c r="C477">
        <v>2006</v>
      </c>
      <c r="D477" s="7">
        <v>45842</v>
      </c>
      <c r="E477" t="s">
        <v>210</v>
      </c>
      <c r="F477" t="s">
        <v>214</v>
      </c>
      <c r="H477" s="7">
        <v>45856</v>
      </c>
      <c r="I477" t="s">
        <v>206</v>
      </c>
    </row>
    <row r="478" spans="1:9">
      <c r="A478">
        <v>50477</v>
      </c>
      <c r="B478">
        <v>3038</v>
      </c>
      <c r="C478">
        <v>2006</v>
      </c>
      <c r="D478" s="7">
        <v>45889</v>
      </c>
      <c r="E478" t="s">
        <v>210</v>
      </c>
      <c r="F478" t="s">
        <v>214</v>
      </c>
      <c r="H478" s="7">
        <v>45910</v>
      </c>
      <c r="I478" t="s">
        <v>207</v>
      </c>
    </row>
    <row r="479" spans="1:9">
      <c r="A479">
        <v>50478</v>
      </c>
      <c r="B479">
        <v>3038</v>
      </c>
      <c r="C479">
        <v>2006</v>
      </c>
      <c r="D479" s="7">
        <v>45999</v>
      </c>
      <c r="E479" t="s">
        <v>204</v>
      </c>
      <c r="F479" t="s">
        <v>202</v>
      </c>
      <c r="G479">
        <v>15</v>
      </c>
      <c r="H479" s="7">
        <v>46006</v>
      </c>
      <c r="I479" t="s">
        <v>217</v>
      </c>
    </row>
    <row r="480" spans="1:9">
      <c r="A480">
        <v>50479</v>
      </c>
      <c r="B480">
        <v>3038</v>
      </c>
      <c r="C480">
        <v>2006</v>
      </c>
      <c r="D480" s="7">
        <v>46156</v>
      </c>
      <c r="E480" t="s">
        <v>219</v>
      </c>
      <c r="F480" t="s">
        <v>218</v>
      </c>
      <c r="H480" s="7"/>
      <c r="I480" t="s">
        <v>207</v>
      </c>
    </row>
    <row r="481" spans="1:9">
      <c r="A481">
        <v>50480</v>
      </c>
      <c r="B481">
        <v>3039</v>
      </c>
      <c r="C481">
        <v>2013</v>
      </c>
      <c r="D481" s="7">
        <v>45415</v>
      </c>
      <c r="E481" t="s">
        <v>212</v>
      </c>
      <c r="F481" t="s">
        <v>202</v>
      </c>
      <c r="G481">
        <v>30</v>
      </c>
      <c r="H481" s="7">
        <v>45436</v>
      </c>
      <c r="I481" t="s">
        <v>206</v>
      </c>
    </row>
    <row r="482" spans="1:9">
      <c r="A482">
        <v>50481</v>
      </c>
      <c r="B482">
        <v>3039</v>
      </c>
      <c r="C482">
        <v>2013</v>
      </c>
      <c r="D482" s="7">
        <v>45452</v>
      </c>
      <c r="E482" t="s">
        <v>212</v>
      </c>
      <c r="F482" t="s">
        <v>202</v>
      </c>
      <c r="G482">
        <v>90</v>
      </c>
      <c r="H482" s="7">
        <v>45466</v>
      </c>
      <c r="I482" t="s">
        <v>216</v>
      </c>
    </row>
    <row r="483" spans="1:9">
      <c r="A483">
        <v>50482</v>
      </c>
      <c r="B483">
        <v>3039</v>
      </c>
      <c r="C483">
        <v>2013</v>
      </c>
      <c r="D483" s="7">
        <v>45485</v>
      </c>
      <c r="E483" t="s">
        <v>219</v>
      </c>
      <c r="F483" t="s">
        <v>202</v>
      </c>
      <c r="G483">
        <v>30</v>
      </c>
      <c r="H483" s="7">
        <v>45506</v>
      </c>
      <c r="I483" t="s">
        <v>211</v>
      </c>
    </row>
    <row r="484" spans="1:9">
      <c r="A484">
        <v>50483</v>
      </c>
      <c r="B484">
        <v>3039</v>
      </c>
      <c r="C484">
        <v>2013</v>
      </c>
      <c r="D484" s="7">
        <v>45511</v>
      </c>
      <c r="E484" t="s">
        <v>219</v>
      </c>
      <c r="F484" t="s">
        <v>202</v>
      </c>
      <c r="G484">
        <v>60</v>
      </c>
      <c r="H484" s="7">
        <v>45541</v>
      </c>
      <c r="I484" t="s">
        <v>206</v>
      </c>
    </row>
    <row r="485" spans="1:9">
      <c r="A485">
        <v>50484</v>
      </c>
      <c r="B485">
        <v>3039</v>
      </c>
      <c r="C485">
        <v>2013</v>
      </c>
      <c r="D485" s="7">
        <v>45738</v>
      </c>
      <c r="E485" t="s">
        <v>219</v>
      </c>
      <c r="F485" t="s">
        <v>202</v>
      </c>
      <c r="G485">
        <v>30</v>
      </c>
      <c r="H485" s="7">
        <v>45745</v>
      </c>
      <c r="I485" t="s">
        <v>203</v>
      </c>
    </row>
    <row r="486" spans="1:9">
      <c r="A486">
        <v>50485</v>
      </c>
      <c r="B486">
        <v>3039</v>
      </c>
      <c r="C486">
        <v>2013</v>
      </c>
      <c r="D486" s="7">
        <v>45746</v>
      </c>
      <c r="E486" t="s">
        <v>204</v>
      </c>
      <c r="F486" t="s">
        <v>215</v>
      </c>
      <c r="G486">
        <v>10</v>
      </c>
      <c r="H486" s="7">
        <v>45749</v>
      </c>
      <c r="I486" t="s">
        <v>207</v>
      </c>
    </row>
    <row r="487" spans="1:9">
      <c r="A487">
        <v>50486</v>
      </c>
      <c r="B487">
        <v>3039</v>
      </c>
      <c r="C487">
        <v>2013</v>
      </c>
      <c r="D487" s="7">
        <v>45754</v>
      </c>
      <c r="E487" t="s">
        <v>210</v>
      </c>
      <c r="F487" t="s">
        <v>213</v>
      </c>
      <c r="H487" s="7">
        <v>45768</v>
      </c>
      <c r="I487" t="s">
        <v>217</v>
      </c>
    </row>
    <row r="488" spans="1:9">
      <c r="A488">
        <v>50487</v>
      </c>
      <c r="B488">
        <v>3039</v>
      </c>
      <c r="C488">
        <v>2013</v>
      </c>
      <c r="D488" s="7">
        <v>45764</v>
      </c>
      <c r="E488" t="s">
        <v>201</v>
      </c>
      <c r="F488" t="s">
        <v>202</v>
      </c>
      <c r="G488">
        <v>45</v>
      </c>
      <c r="H488" s="7">
        <v>45767</v>
      </c>
      <c r="I488" t="s">
        <v>206</v>
      </c>
    </row>
    <row r="489" spans="1:9">
      <c r="A489">
        <v>50488</v>
      </c>
      <c r="B489">
        <v>3039</v>
      </c>
      <c r="C489">
        <v>2013</v>
      </c>
      <c r="D489" s="7">
        <v>45978</v>
      </c>
      <c r="E489" t="s">
        <v>201</v>
      </c>
      <c r="F489" t="s">
        <v>205</v>
      </c>
      <c r="H489" s="7"/>
      <c r="I489" t="s">
        <v>211</v>
      </c>
    </row>
    <row r="490" spans="1:9">
      <c r="A490">
        <v>50489</v>
      </c>
      <c r="B490">
        <v>3039</v>
      </c>
      <c r="C490">
        <v>2013</v>
      </c>
      <c r="D490" s="7">
        <v>45999</v>
      </c>
      <c r="E490" t="s">
        <v>201</v>
      </c>
      <c r="F490" t="s">
        <v>214</v>
      </c>
      <c r="H490" s="7">
        <v>46002</v>
      </c>
      <c r="I490" t="s">
        <v>206</v>
      </c>
    </row>
    <row r="491" spans="1:9">
      <c r="A491">
        <v>50490</v>
      </c>
      <c r="B491">
        <v>3039</v>
      </c>
      <c r="C491">
        <v>2013</v>
      </c>
      <c r="D491" s="7">
        <v>46079</v>
      </c>
      <c r="E491" t="s">
        <v>204</v>
      </c>
      <c r="F491" t="s">
        <v>202</v>
      </c>
      <c r="G491">
        <v>60</v>
      </c>
      <c r="H491" s="7">
        <v>46109</v>
      </c>
      <c r="I491" t="s">
        <v>203</v>
      </c>
    </row>
    <row r="492" spans="1:9">
      <c r="A492">
        <v>50491</v>
      </c>
      <c r="B492">
        <v>3039</v>
      </c>
      <c r="C492">
        <v>2013</v>
      </c>
      <c r="D492" s="7">
        <v>46142</v>
      </c>
      <c r="E492" t="s">
        <v>204</v>
      </c>
      <c r="F492" t="s">
        <v>215</v>
      </c>
      <c r="G492">
        <v>45</v>
      </c>
      <c r="H492" s="7">
        <v>46145</v>
      </c>
      <c r="I492" t="s">
        <v>203</v>
      </c>
    </row>
    <row r="493" spans="1:9">
      <c r="A493">
        <v>50492</v>
      </c>
      <c r="B493">
        <v>3039</v>
      </c>
      <c r="C493">
        <v>2013</v>
      </c>
      <c r="D493" s="7">
        <v>46156</v>
      </c>
      <c r="E493" t="s">
        <v>204</v>
      </c>
      <c r="F493" t="s">
        <v>214</v>
      </c>
      <c r="H493" s="7">
        <v>46170</v>
      </c>
      <c r="I493" t="s">
        <v>211</v>
      </c>
    </row>
    <row r="494" spans="1:9">
      <c r="A494">
        <v>50493</v>
      </c>
      <c r="B494">
        <v>3039</v>
      </c>
      <c r="C494">
        <v>2013</v>
      </c>
      <c r="D494" s="7">
        <v>46166</v>
      </c>
      <c r="E494" t="s">
        <v>204</v>
      </c>
      <c r="F494" t="s">
        <v>202</v>
      </c>
      <c r="G494">
        <v>20</v>
      </c>
      <c r="H494" s="7">
        <v>46180</v>
      </c>
      <c r="I494" t="s">
        <v>216</v>
      </c>
    </row>
    <row r="495" spans="1:9">
      <c r="A495">
        <v>50494</v>
      </c>
      <c r="B495">
        <v>3039</v>
      </c>
      <c r="C495">
        <v>2013</v>
      </c>
      <c r="D495" s="7">
        <v>46185</v>
      </c>
      <c r="E495" t="s">
        <v>212</v>
      </c>
      <c r="F495" t="s">
        <v>215</v>
      </c>
      <c r="G495">
        <v>30</v>
      </c>
      <c r="H495" s="7">
        <v>46199</v>
      </c>
      <c r="I495" t="s">
        <v>209</v>
      </c>
    </row>
    <row r="496" spans="1:9">
      <c r="A496">
        <v>50495</v>
      </c>
      <c r="B496">
        <v>3040</v>
      </c>
      <c r="C496">
        <v>2002</v>
      </c>
      <c r="D496" s="7">
        <v>45834</v>
      </c>
      <c r="E496" t="s">
        <v>212</v>
      </c>
      <c r="F496" t="s">
        <v>214</v>
      </c>
      <c r="H496" s="7">
        <v>45841</v>
      </c>
      <c r="I496" t="s">
        <v>203</v>
      </c>
    </row>
    <row r="497" spans="1:9">
      <c r="A497">
        <v>50496</v>
      </c>
      <c r="B497">
        <v>3040</v>
      </c>
      <c r="C497">
        <v>2002</v>
      </c>
      <c r="D497" s="7">
        <v>45842</v>
      </c>
      <c r="E497" t="s">
        <v>210</v>
      </c>
      <c r="F497" t="s">
        <v>205</v>
      </c>
      <c r="H497" s="7"/>
      <c r="I497" t="s">
        <v>206</v>
      </c>
    </row>
    <row r="498" spans="1:9">
      <c r="A498">
        <v>50497</v>
      </c>
      <c r="B498">
        <v>3040</v>
      </c>
      <c r="C498">
        <v>2002</v>
      </c>
      <c r="D498" s="7">
        <v>46023</v>
      </c>
      <c r="E498" t="s">
        <v>210</v>
      </c>
      <c r="F498" t="s">
        <v>213</v>
      </c>
      <c r="H498" s="7">
        <v>46044</v>
      </c>
      <c r="I498" t="s">
        <v>216</v>
      </c>
    </row>
    <row r="499" spans="1:9">
      <c r="A499">
        <v>50498</v>
      </c>
      <c r="B499">
        <v>3040</v>
      </c>
      <c r="C499">
        <v>2002</v>
      </c>
      <c r="D499" s="7">
        <v>46045</v>
      </c>
      <c r="E499" t="s">
        <v>204</v>
      </c>
      <c r="F499" t="s">
        <v>214</v>
      </c>
      <c r="H499" s="7">
        <v>46075</v>
      </c>
      <c r="I499" t="s">
        <v>207</v>
      </c>
    </row>
    <row r="500" spans="1:9">
      <c r="A500">
        <v>50499</v>
      </c>
      <c r="B500">
        <v>3040</v>
      </c>
      <c r="C500">
        <v>2002</v>
      </c>
      <c r="D500" s="7">
        <v>46146</v>
      </c>
      <c r="E500" t="s">
        <v>201</v>
      </c>
      <c r="F500" t="s">
        <v>202</v>
      </c>
      <c r="G500">
        <v>10</v>
      </c>
      <c r="H500" s="7">
        <v>46149</v>
      </c>
      <c r="I500" t="s">
        <v>211</v>
      </c>
    </row>
    <row r="501" spans="1:9">
      <c r="A501">
        <v>50500</v>
      </c>
      <c r="B501">
        <v>3041</v>
      </c>
      <c r="C501">
        <v>2017</v>
      </c>
      <c r="D501" s="7">
        <v>45506</v>
      </c>
      <c r="E501" t="s">
        <v>204</v>
      </c>
      <c r="F501" t="s">
        <v>205</v>
      </c>
      <c r="H501" s="7"/>
      <c r="I501" t="s">
        <v>216</v>
      </c>
    </row>
    <row r="502" spans="1:9">
      <c r="A502">
        <v>50501</v>
      </c>
      <c r="B502">
        <v>3041</v>
      </c>
      <c r="C502">
        <v>2017</v>
      </c>
      <c r="D502" s="7">
        <v>45522</v>
      </c>
      <c r="E502" t="s">
        <v>204</v>
      </c>
      <c r="F502" t="s">
        <v>202</v>
      </c>
      <c r="G502">
        <v>90</v>
      </c>
      <c r="H502" s="7">
        <v>45536</v>
      </c>
      <c r="I502" t="s">
        <v>216</v>
      </c>
    </row>
    <row r="503" spans="1:9">
      <c r="A503">
        <v>50502</v>
      </c>
      <c r="B503">
        <v>3041</v>
      </c>
      <c r="C503">
        <v>2017</v>
      </c>
      <c r="D503" s="7">
        <v>45694</v>
      </c>
      <c r="E503" t="s">
        <v>212</v>
      </c>
      <c r="F503" t="s">
        <v>218</v>
      </c>
      <c r="H503" s="7"/>
      <c r="I503" t="s">
        <v>207</v>
      </c>
    </row>
    <row r="504" spans="1:9">
      <c r="A504">
        <v>50503</v>
      </c>
      <c r="B504">
        <v>3041</v>
      </c>
      <c r="C504">
        <v>2017</v>
      </c>
      <c r="D504" s="7">
        <v>45722</v>
      </c>
      <c r="E504" t="s">
        <v>219</v>
      </c>
      <c r="F504" t="s">
        <v>218</v>
      </c>
      <c r="H504" s="7"/>
      <c r="I504" t="s">
        <v>211</v>
      </c>
    </row>
    <row r="505" spans="1:9">
      <c r="A505">
        <v>50504</v>
      </c>
      <c r="B505">
        <v>3041</v>
      </c>
      <c r="C505">
        <v>2017</v>
      </c>
      <c r="D505" s="7">
        <v>45747</v>
      </c>
      <c r="E505" t="s">
        <v>208</v>
      </c>
      <c r="F505" t="s">
        <v>215</v>
      </c>
      <c r="G505">
        <v>60</v>
      </c>
      <c r="H505" s="7">
        <v>45761</v>
      </c>
      <c r="I505" t="s">
        <v>206</v>
      </c>
    </row>
    <row r="506" spans="1:9">
      <c r="A506">
        <v>50505</v>
      </c>
      <c r="B506">
        <v>3041</v>
      </c>
      <c r="C506">
        <v>2017</v>
      </c>
      <c r="D506" s="7">
        <v>45779</v>
      </c>
      <c r="E506" t="s">
        <v>201</v>
      </c>
      <c r="F506" t="s">
        <v>213</v>
      </c>
      <c r="H506" s="7">
        <v>45800</v>
      </c>
      <c r="I506" t="s">
        <v>211</v>
      </c>
    </row>
    <row r="507" spans="1:9">
      <c r="A507">
        <v>50506</v>
      </c>
      <c r="B507">
        <v>3041</v>
      </c>
      <c r="C507">
        <v>2017</v>
      </c>
      <c r="D507" s="7">
        <v>45853</v>
      </c>
      <c r="E507" t="s">
        <v>210</v>
      </c>
      <c r="F507" t="s">
        <v>202</v>
      </c>
      <c r="G507">
        <v>90</v>
      </c>
      <c r="H507" s="7">
        <v>45883</v>
      </c>
      <c r="I507" t="s">
        <v>211</v>
      </c>
    </row>
    <row r="508" spans="1:9">
      <c r="A508">
        <v>50507</v>
      </c>
      <c r="B508">
        <v>3041</v>
      </c>
      <c r="C508">
        <v>2017</v>
      </c>
      <c r="D508" s="7">
        <v>45869</v>
      </c>
      <c r="E508" t="s">
        <v>204</v>
      </c>
      <c r="F508" t="s">
        <v>214</v>
      </c>
      <c r="H508" s="7">
        <v>45872</v>
      </c>
      <c r="I508" t="s">
        <v>211</v>
      </c>
    </row>
    <row r="509" spans="1:9">
      <c r="A509">
        <v>50508</v>
      </c>
      <c r="B509">
        <v>3041</v>
      </c>
      <c r="C509">
        <v>2017</v>
      </c>
      <c r="D509" s="7">
        <v>45905</v>
      </c>
      <c r="E509" t="s">
        <v>219</v>
      </c>
      <c r="F509" t="s">
        <v>218</v>
      </c>
      <c r="H509" s="7"/>
      <c r="I509" t="s">
        <v>209</v>
      </c>
    </row>
    <row r="510" spans="1:9">
      <c r="A510">
        <v>50509</v>
      </c>
      <c r="B510">
        <v>3041</v>
      </c>
      <c r="C510">
        <v>2017</v>
      </c>
      <c r="D510" s="7">
        <v>46152</v>
      </c>
      <c r="E510" t="s">
        <v>201</v>
      </c>
      <c r="F510" t="s">
        <v>214</v>
      </c>
      <c r="H510" s="7">
        <v>46173</v>
      </c>
      <c r="I510" t="s">
        <v>211</v>
      </c>
    </row>
    <row r="511" spans="1:9">
      <c r="A511">
        <v>50510</v>
      </c>
      <c r="B511">
        <v>3041</v>
      </c>
      <c r="C511">
        <v>2017</v>
      </c>
      <c r="D511" s="7">
        <v>46185</v>
      </c>
      <c r="E511" t="s">
        <v>208</v>
      </c>
      <c r="F511" t="s">
        <v>202</v>
      </c>
      <c r="G511">
        <v>30</v>
      </c>
      <c r="H511" s="7">
        <v>46199</v>
      </c>
      <c r="I511" t="s">
        <v>207</v>
      </c>
    </row>
    <row r="512" spans="1:9">
      <c r="A512">
        <v>50511</v>
      </c>
      <c r="B512">
        <v>3042</v>
      </c>
      <c r="C512">
        <v>2002</v>
      </c>
      <c r="D512" s="7">
        <v>45571</v>
      </c>
      <c r="E512" t="s">
        <v>204</v>
      </c>
      <c r="F512" t="s">
        <v>202</v>
      </c>
      <c r="G512">
        <v>30</v>
      </c>
      <c r="H512" s="7">
        <v>45585</v>
      </c>
      <c r="I512" t="s">
        <v>207</v>
      </c>
    </row>
    <row r="513" spans="1:9">
      <c r="A513">
        <v>50512</v>
      </c>
      <c r="B513">
        <v>3042</v>
      </c>
      <c r="C513">
        <v>2002</v>
      </c>
      <c r="D513" s="7">
        <v>45582</v>
      </c>
      <c r="E513" t="s">
        <v>204</v>
      </c>
      <c r="F513" t="s">
        <v>202</v>
      </c>
      <c r="G513">
        <v>15</v>
      </c>
      <c r="H513" s="7">
        <v>45585</v>
      </c>
      <c r="I513" t="s">
        <v>217</v>
      </c>
    </row>
    <row r="514" spans="1:9">
      <c r="A514">
        <v>50513</v>
      </c>
      <c r="B514">
        <v>3042</v>
      </c>
      <c r="C514">
        <v>2002</v>
      </c>
      <c r="D514" s="7">
        <v>45636</v>
      </c>
      <c r="E514" t="s">
        <v>219</v>
      </c>
      <c r="F514" t="s">
        <v>202</v>
      </c>
      <c r="G514">
        <v>45</v>
      </c>
      <c r="H514" s="7">
        <v>45657</v>
      </c>
      <c r="I514" t="s">
        <v>211</v>
      </c>
    </row>
    <row r="515" spans="1:9">
      <c r="A515">
        <v>50514</v>
      </c>
      <c r="B515">
        <v>3042</v>
      </c>
      <c r="C515">
        <v>2002</v>
      </c>
      <c r="D515" s="7">
        <v>45699</v>
      </c>
      <c r="E515" t="s">
        <v>201</v>
      </c>
      <c r="F515" t="s">
        <v>214</v>
      </c>
      <c r="H515" s="7">
        <v>45706</v>
      </c>
      <c r="I515" t="s">
        <v>217</v>
      </c>
    </row>
    <row r="516" spans="1:9">
      <c r="A516">
        <v>50515</v>
      </c>
      <c r="B516">
        <v>3042</v>
      </c>
      <c r="C516">
        <v>2002</v>
      </c>
      <c r="D516" s="7">
        <v>45838</v>
      </c>
      <c r="E516" t="s">
        <v>208</v>
      </c>
      <c r="F516" t="s">
        <v>202</v>
      </c>
      <c r="G516">
        <v>30</v>
      </c>
      <c r="H516" s="7">
        <v>45859</v>
      </c>
      <c r="I516" t="s">
        <v>207</v>
      </c>
    </row>
    <row r="517" spans="1:9">
      <c r="A517">
        <v>50516</v>
      </c>
      <c r="B517">
        <v>3042</v>
      </c>
      <c r="C517">
        <v>2002</v>
      </c>
      <c r="D517" s="7">
        <v>45915</v>
      </c>
      <c r="E517" t="s">
        <v>201</v>
      </c>
      <c r="F517" t="s">
        <v>202</v>
      </c>
      <c r="G517">
        <v>60</v>
      </c>
      <c r="H517" s="7">
        <v>45918</v>
      </c>
      <c r="I517" t="s">
        <v>203</v>
      </c>
    </row>
    <row r="518" spans="1:9">
      <c r="A518">
        <v>50517</v>
      </c>
      <c r="B518">
        <v>3042</v>
      </c>
      <c r="C518">
        <v>2002</v>
      </c>
      <c r="D518" s="7">
        <v>45946</v>
      </c>
      <c r="E518" t="s">
        <v>204</v>
      </c>
      <c r="F518" t="s">
        <v>205</v>
      </c>
      <c r="H518" s="7"/>
      <c r="I518" t="s">
        <v>216</v>
      </c>
    </row>
    <row r="519" spans="1:9">
      <c r="A519">
        <v>50518</v>
      </c>
      <c r="B519">
        <v>3042</v>
      </c>
      <c r="C519">
        <v>2002</v>
      </c>
      <c r="D519" s="7">
        <v>46012</v>
      </c>
      <c r="E519" t="s">
        <v>201</v>
      </c>
      <c r="F519" t="s">
        <v>202</v>
      </c>
      <c r="G519">
        <v>15</v>
      </c>
      <c r="H519" s="7">
        <v>46033</v>
      </c>
      <c r="I519" t="s">
        <v>216</v>
      </c>
    </row>
    <row r="520" spans="1:9">
      <c r="A520">
        <v>50519</v>
      </c>
      <c r="B520">
        <v>3042</v>
      </c>
      <c r="C520">
        <v>2002</v>
      </c>
      <c r="D520" s="7">
        <v>46116</v>
      </c>
      <c r="E520" t="s">
        <v>201</v>
      </c>
      <c r="F520" t="s">
        <v>202</v>
      </c>
      <c r="G520">
        <v>10</v>
      </c>
      <c r="H520" s="7">
        <v>46123</v>
      </c>
      <c r="I520" t="s">
        <v>203</v>
      </c>
    </row>
    <row r="521" spans="1:9">
      <c r="A521">
        <v>50520</v>
      </c>
      <c r="B521">
        <v>3042</v>
      </c>
      <c r="C521">
        <v>2002</v>
      </c>
      <c r="D521" s="7">
        <v>46134</v>
      </c>
      <c r="E521" t="s">
        <v>212</v>
      </c>
      <c r="F521" t="s">
        <v>215</v>
      </c>
      <c r="G521">
        <v>30</v>
      </c>
      <c r="H521" s="7">
        <v>46155</v>
      </c>
      <c r="I521" t="s">
        <v>209</v>
      </c>
    </row>
    <row r="522" spans="1:9">
      <c r="A522">
        <v>50521</v>
      </c>
      <c r="B522">
        <v>3042</v>
      </c>
      <c r="C522">
        <v>2002</v>
      </c>
      <c r="D522" s="7">
        <v>46165</v>
      </c>
      <c r="E522" t="s">
        <v>201</v>
      </c>
      <c r="F522" t="s">
        <v>202</v>
      </c>
      <c r="G522">
        <v>10</v>
      </c>
      <c r="H522" s="7">
        <v>46172</v>
      </c>
      <c r="I522" t="s">
        <v>216</v>
      </c>
    </row>
    <row r="523" spans="1:9">
      <c r="A523">
        <v>50522</v>
      </c>
      <c r="B523">
        <v>3043</v>
      </c>
      <c r="C523">
        <v>2009</v>
      </c>
      <c r="D523" s="7">
        <v>45385</v>
      </c>
      <c r="E523" t="s">
        <v>210</v>
      </c>
      <c r="F523" t="s">
        <v>214</v>
      </c>
      <c r="H523" s="7">
        <v>45415</v>
      </c>
      <c r="I523" t="s">
        <v>211</v>
      </c>
    </row>
    <row r="524" spans="1:9">
      <c r="A524">
        <v>50523</v>
      </c>
      <c r="B524">
        <v>3043</v>
      </c>
      <c r="C524">
        <v>2009</v>
      </c>
      <c r="D524" s="7">
        <v>45398</v>
      </c>
      <c r="E524" t="s">
        <v>219</v>
      </c>
      <c r="F524" t="s">
        <v>205</v>
      </c>
      <c r="H524" s="7"/>
      <c r="I524" t="s">
        <v>207</v>
      </c>
    </row>
    <row r="525" spans="1:9">
      <c r="A525">
        <v>50524</v>
      </c>
      <c r="B525">
        <v>3043</v>
      </c>
      <c r="C525">
        <v>2009</v>
      </c>
      <c r="D525" s="7">
        <v>45476</v>
      </c>
      <c r="E525" t="s">
        <v>219</v>
      </c>
      <c r="F525" t="s">
        <v>202</v>
      </c>
      <c r="G525">
        <v>20</v>
      </c>
      <c r="H525" s="7">
        <v>45506</v>
      </c>
      <c r="I525" t="s">
        <v>207</v>
      </c>
    </row>
    <row r="526" spans="1:9">
      <c r="A526">
        <v>50525</v>
      </c>
      <c r="B526">
        <v>3043</v>
      </c>
      <c r="C526">
        <v>2009</v>
      </c>
      <c r="D526" s="7">
        <v>45561</v>
      </c>
      <c r="E526" t="s">
        <v>208</v>
      </c>
      <c r="F526" t="s">
        <v>202</v>
      </c>
      <c r="G526">
        <v>15</v>
      </c>
      <c r="H526" s="7">
        <v>45568</v>
      </c>
      <c r="I526" t="s">
        <v>211</v>
      </c>
    </row>
    <row r="527" spans="1:9">
      <c r="A527">
        <v>50526</v>
      </c>
      <c r="B527">
        <v>3043</v>
      </c>
      <c r="C527">
        <v>2009</v>
      </c>
      <c r="D527" s="7">
        <v>45676</v>
      </c>
      <c r="E527" t="s">
        <v>204</v>
      </c>
      <c r="F527" t="s">
        <v>215</v>
      </c>
      <c r="G527">
        <v>45</v>
      </c>
      <c r="H527" s="7">
        <v>45679</v>
      </c>
      <c r="I527" t="s">
        <v>203</v>
      </c>
    </row>
    <row r="528" spans="1:9">
      <c r="A528">
        <v>50527</v>
      </c>
      <c r="B528">
        <v>3043</v>
      </c>
      <c r="C528">
        <v>2009</v>
      </c>
      <c r="D528" s="7">
        <v>45874</v>
      </c>
      <c r="E528" t="s">
        <v>212</v>
      </c>
      <c r="F528" t="s">
        <v>214</v>
      </c>
      <c r="H528" s="7">
        <v>45904</v>
      </c>
      <c r="I528" t="s">
        <v>207</v>
      </c>
    </row>
    <row r="529" spans="1:9">
      <c r="A529">
        <v>50528</v>
      </c>
      <c r="B529">
        <v>3043</v>
      </c>
      <c r="C529">
        <v>2009</v>
      </c>
      <c r="D529" s="7">
        <v>45877</v>
      </c>
      <c r="E529" t="s">
        <v>212</v>
      </c>
      <c r="F529" t="s">
        <v>202</v>
      </c>
      <c r="G529">
        <v>10</v>
      </c>
      <c r="H529" s="7">
        <v>45891</v>
      </c>
      <c r="I529" t="s">
        <v>217</v>
      </c>
    </row>
    <row r="530" spans="1:9">
      <c r="A530">
        <v>50529</v>
      </c>
      <c r="B530">
        <v>3043</v>
      </c>
      <c r="C530">
        <v>2009</v>
      </c>
      <c r="D530" s="7">
        <v>45917</v>
      </c>
      <c r="E530" t="s">
        <v>204</v>
      </c>
      <c r="F530" t="s">
        <v>205</v>
      </c>
      <c r="H530" s="7"/>
      <c r="I530" t="s">
        <v>211</v>
      </c>
    </row>
    <row r="531" spans="1:9">
      <c r="A531">
        <v>50530</v>
      </c>
      <c r="B531">
        <v>3043</v>
      </c>
      <c r="C531">
        <v>2009</v>
      </c>
      <c r="D531" s="7">
        <v>45957</v>
      </c>
      <c r="E531" t="s">
        <v>208</v>
      </c>
      <c r="F531" t="s">
        <v>202</v>
      </c>
      <c r="G531">
        <v>15</v>
      </c>
      <c r="H531" s="7">
        <v>45971</v>
      </c>
      <c r="I531" t="s">
        <v>206</v>
      </c>
    </row>
    <row r="532" spans="1:9">
      <c r="A532">
        <v>50531</v>
      </c>
      <c r="B532">
        <v>3043</v>
      </c>
      <c r="C532">
        <v>2009</v>
      </c>
      <c r="D532" s="7">
        <v>46043</v>
      </c>
      <c r="E532" t="s">
        <v>201</v>
      </c>
      <c r="F532" t="s">
        <v>214</v>
      </c>
      <c r="H532" s="7">
        <v>46057</v>
      </c>
      <c r="I532" t="s">
        <v>203</v>
      </c>
    </row>
    <row r="533" spans="1:9">
      <c r="A533">
        <v>50532</v>
      </c>
      <c r="B533">
        <v>3043</v>
      </c>
      <c r="C533">
        <v>2009</v>
      </c>
      <c r="D533" s="7">
        <v>46061</v>
      </c>
      <c r="E533" t="s">
        <v>212</v>
      </c>
      <c r="F533" t="s">
        <v>202</v>
      </c>
      <c r="G533">
        <v>45</v>
      </c>
      <c r="H533" s="7">
        <v>46082</v>
      </c>
      <c r="I533" t="s">
        <v>209</v>
      </c>
    </row>
    <row r="534" spans="1:9">
      <c r="A534">
        <v>50533</v>
      </c>
      <c r="B534">
        <v>3044</v>
      </c>
      <c r="C534">
        <v>2007</v>
      </c>
      <c r="D534" s="7">
        <v>45453</v>
      </c>
      <c r="E534" t="s">
        <v>210</v>
      </c>
      <c r="F534" t="s">
        <v>214</v>
      </c>
      <c r="H534" s="7">
        <v>45474</v>
      </c>
      <c r="I534" t="s">
        <v>203</v>
      </c>
    </row>
    <row r="535" spans="1:9">
      <c r="A535">
        <v>50534</v>
      </c>
      <c r="B535">
        <v>3044</v>
      </c>
      <c r="C535">
        <v>2007</v>
      </c>
      <c r="D535" s="7">
        <v>45665</v>
      </c>
      <c r="E535" t="s">
        <v>212</v>
      </c>
      <c r="F535" t="s">
        <v>205</v>
      </c>
      <c r="H535" s="7"/>
      <c r="I535" t="s">
        <v>209</v>
      </c>
    </row>
    <row r="536" spans="1:9">
      <c r="A536">
        <v>50535</v>
      </c>
      <c r="B536">
        <v>3044</v>
      </c>
      <c r="C536">
        <v>2007</v>
      </c>
      <c r="D536" s="7">
        <v>45746</v>
      </c>
      <c r="E536" t="s">
        <v>201</v>
      </c>
      <c r="F536" t="s">
        <v>213</v>
      </c>
      <c r="H536" s="7">
        <v>45776</v>
      </c>
      <c r="I536" t="s">
        <v>203</v>
      </c>
    </row>
    <row r="537" spans="1:9">
      <c r="A537">
        <v>50536</v>
      </c>
      <c r="B537">
        <v>3044</v>
      </c>
      <c r="C537">
        <v>2007</v>
      </c>
      <c r="D537" s="7">
        <v>45760</v>
      </c>
      <c r="E537" t="s">
        <v>210</v>
      </c>
      <c r="F537" t="s">
        <v>205</v>
      </c>
      <c r="H537" s="7"/>
      <c r="I537" t="s">
        <v>209</v>
      </c>
    </row>
    <row r="538" spans="1:9">
      <c r="A538">
        <v>50537</v>
      </c>
      <c r="B538">
        <v>3044</v>
      </c>
      <c r="C538">
        <v>2007</v>
      </c>
      <c r="D538" s="7">
        <v>45770</v>
      </c>
      <c r="E538" t="s">
        <v>219</v>
      </c>
      <c r="F538" t="s">
        <v>202</v>
      </c>
      <c r="G538">
        <v>10</v>
      </c>
      <c r="H538" s="7">
        <v>45791</v>
      </c>
      <c r="I538" t="s">
        <v>207</v>
      </c>
    </row>
    <row r="539" spans="1:9">
      <c r="A539">
        <v>50538</v>
      </c>
      <c r="B539">
        <v>3044</v>
      </c>
      <c r="C539">
        <v>2007</v>
      </c>
      <c r="D539" s="7">
        <v>45771</v>
      </c>
      <c r="E539" t="s">
        <v>201</v>
      </c>
      <c r="F539" t="s">
        <v>214</v>
      </c>
      <c r="H539" s="7">
        <v>45785</v>
      </c>
      <c r="I539" t="s">
        <v>206</v>
      </c>
    </row>
    <row r="540" spans="1:9">
      <c r="A540">
        <v>50539</v>
      </c>
      <c r="B540">
        <v>3044</v>
      </c>
      <c r="C540">
        <v>2007</v>
      </c>
      <c r="D540" s="7">
        <v>45771</v>
      </c>
      <c r="E540" t="s">
        <v>208</v>
      </c>
      <c r="F540" t="s">
        <v>202</v>
      </c>
      <c r="G540">
        <v>15</v>
      </c>
      <c r="H540" s="7">
        <v>45785</v>
      </c>
      <c r="I540" t="s">
        <v>206</v>
      </c>
    </row>
    <row r="541" spans="1:9">
      <c r="A541">
        <v>50540</v>
      </c>
      <c r="B541">
        <v>3044</v>
      </c>
      <c r="C541">
        <v>2007</v>
      </c>
      <c r="D541" s="7">
        <v>45790</v>
      </c>
      <c r="E541" t="s">
        <v>204</v>
      </c>
      <c r="F541" t="s">
        <v>202</v>
      </c>
      <c r="G541">
        <v>60</v>
      </c>
      <c r="H541" s="7">
        <v>45804</v>
      </c>
      <c r="I541" t="s">
        <v>203</v>
      </c>
    </row>
    <row r="542" spans="1:9">
      <c r="A542">
        <v>50541</v>
      </c>
      <c r="B542">
        <v>3044</v>
      </c>
      <c r="C542">
        <v>2007</v>
      </c>
      <c r="D542" s="7">
        <v>45804</v>
      </c>
      <c r="E542" t="s">
        <v>201</v>
      </c>
      <c r="F542" t="s">
        <v>202</v>
      </c>
      <c r="G542">
        <v>20</v>
      </c>
      <c r="H542" s="7">
        <v>45825</v>
      </c>
      <c r="I542" t="s">
        <v>217</v>
      </c>
    </row>
    <row r="543" spans="1:9">
      <c r="A543">
        <v>50542</v>
      </c>
      <c r="B543">
        <v>3044</v>
      </c>
      <c r="C543">
        <v>2007</v>
      </c>
      <c r="D543" s="7">
        <v>45806</v>
      </c>
      <c r="E543" t="s">
        <v>204</v>
      </c>
      <c r="F543" t="s">
        <v>202</v>
      </c>
      <c r="G543">
        <v>30</v>
      </c>
      <c r="H543" s="7">
        <v>45813</v>
      </c>
      <c r="I543" t="s">
        <v>209</v>
      </c>
    </row>
    <row r="544" spans="1:9">
      <c r="A544">
        <v>50543</v>
      </c>
      <c r="B544">
        <v>3044</v>
      </c>
      <c r="C544">
        <v>2007</v>
      </c>
      <c r="D544" s="7">
        <v>45851</v>
      </c>
      <c r="E544" t="s">
        <v>219</v>
      </c>
      <c r="F544" t="s">
        <v>202</v>
      </c>
      <c r="G544">
        <v>10</v>
      </c>
      <c r="H544" s="7">
        <v>45854</v>
      </c>
      <c r="I544" t="s">
        <v>206</v>
      </c>
    </row>
    <row r="545" spans="1:9">
      <c r="A545">
        <v>50544</v>
      </c>
      <c r="B545">
        <v>3044</v>
      </c>
      <c r="C545">
        <v>2007</v>
      </c>
      <c r="D545" s="7">
        <v>45880</v>
      </c>
      <c r="E545" t="s">
        <v>212</v>
      </c>
      <c r="F545" t="s">
        <v>202</v>
      </c>
      <c r="G545">
        <v>90</v>
      </c>
      <c r="H545" s="7">
        <v>45894</v>
      </c>
      <c r="I545" t="s">
        <v>209</v>
      </c>
    </row>
    <row r="546" spans="1:9">
      <c r="A546">
        <v>50545</v>
      </c>
      <c r="B546">
        <v>3044</v>
      </c>
      <c r="C546">
        <v>2007</v>
      </c>
      <c r="D546" s="7">
        <v>45913</v>
      </c>
      <c r="E546" t="s">
        <v>201</v>
      </c>
      <c r="F546" t="s">
        <v>215</v>
      </c>
      <c r="G546">
        <v>45</v>
      </c>
      <c r="H546" s="7">
        <v>45934</v>
      </c>
      <c r="I546" t="s">
        <v>216</v>
      </c>
    </row>
    <row r="547" spans="1:9">
      <c r="A547">
        <v>50546</v>
      </c>
      <c r="B547">
        <v>3044</v>
      </c>
      <c r="C547">
        <v>2007</v>
      </c>
      <c r="D547" s="7">
        <v>45913</v>
      </c>
      <c r="E547" t="s">
        <v>201</v>
      </c>
      <c r="F547" t="s">
        <v>214</v>
      </c>
      <c r="H547" s="7">
        <v>45943</v>
      </c>
      <c r="I547" t="s">
        <v>217</v>
      </c>
    </row>
    <row r="548" spans="1:9">
      <c r="A548">
        <v>50547</v>
      </c>
      <c r="B548">
        <v>3044</v>
      </c>
      <c r="C548">
        <v>2007</v>
      </c>
      <c r="D548" s="7">
        <v>46022</v>
      </c>
      <c r="E548" t="s">
        <v>212</v>
      </c>
      <c r="F548" t="s">
        <v>202</v>
      </c>
      <c r="G548">
        <v>60</v>
      </c>
      <c r="H548" s="7">
        <v>46036</v>
      </c>
      <c r="I548" t="s">
        <v>216</v>
      </c>
    </row>
    <row r="549" spans="1:9">
      <c r="A549">
        <v>50548</v>
      </c>
      <c r="B549">
        <v>3044</v>
      </c>
      <c r="C549">
        <v>2007</v>
      </c>
      <c r="D549" s="7">
        <v>46120</v>
      </c>
      <c r="E549" t="s">
        <v>212</v>
      </c>
      <c r="F549" t="s">
        <v>213</v>
      </c>
      <c r="H549" s="7">
        <v>46127</v>
      </c>
      <c r="I549" t="s">
        <v>207</v>
      </c>
    </row>
    <row r="550" spans="1:9">
      <c r="A550">
        <v>50549</v>
      </c>
      <c r="B550">
        <v>3044</v>
      </c>
      <c r="C550">
        <v>2007</v>
      </c>
      <c r="D550" s="7">
        <v>46181</v>
      </c>
      <c r="E550" t="s">
        <v>204</v>
      </c>
      <c r="F550" t="s">
        <v>202</v>
      </c>
      <c r="G550">
        <v>90</v>
      </c>
      <c r="H550" s="7">
        <v>46202</v>
      </c>
      <c r="I550" t="s">
        <v>209</v>
      </c>
    </row>
    <row r="551" spans="1:9">
      <c r="A551">
        <v>50550</v>
      </c>
      <c r="B551">
        <v>3044</v>
      </c>
      <c r="C551">
        <v>2007</v>
      </c>
      <c r="D551" s="7">
        <v>46184</v>
      </c>
      <c r="E551" t="s">
        <v>201</v>
      </c>
      <c r="F551" t="s">
        <v>214</v>
      </c>
      <c r="H551" s="7">
        <v>46214</v>
      </c>
      <c r="I551" t="s">
        <v>203</v>
      </c>
    </row>
    <row r="552" spans="1:9">
      <c r="A552">
        <v>50551</v>
      </c>
      <c r="B552">
        <v>3044</v>
      </c>
      <c r="C552">
        <v>2007</v>
      </c>
      <c r="D552" s="7">
        <v>46205</v>
      </c>
      <c r="E552" t="s">
        <v>201</v>
      </c>
      <c r="F552" t="s">
        <v>202</v>
      </c>
      <c r="G552">
        <v>90</v>
      </c>
      <c r="H552" s="7"/>
      <c r="I552" t="s">
        <v>211</v>
      </c>
    </row>
    <row r="553" spans="1:9">
      <c r="A553">
        <v>50552</v>
      </c>
      <c r="B553">
        <v>3045</v>
      </c>
      <c r="C553">
        <v>2015</v>
      </c>
      <c r="D553" s="7">
        <v>45634</v>
      </c>
      <c r="E553" t="s">
        <v>210</v>
      </c>
      <c r="F553" t="s">
        <v>202</v>
      </c>
      <c r="G553">
        <v>15</v>
      </c>
      <c r="H553" s="7">
        <v>45637</v>
      </c>
      <c r="I553" t="s">
        <v>207</v>
      </c>
    </row>
    <row r="554" spans="1:9">
      <c r="A554">
        <v>50553</v>
      </c>
      <c r="B554">
        <v>3045</v>
      </c>
      <c r="C554">
        <v>2015</v>
      </c>
      <c r="D554" s="7">
        <v>45646</v>
      </c>
      <c r="E554" t="s">
        <v>212</v>
      </c>
      <c r="F554" t="s">
        <v>205</v>
      </c>
      <c r="H554" s="7"/>
      <c r="I554" t="s">
        <v>209</v>
      </c>
    </row>
    <row r="555" spans="1:9">
      <c r="A555">
        <v>50554</v>
      </c>
      <c r="B555">
        <v>3045</v>
      </c>
      <c r="C555">
        <v>2015</v>
      </c>
      <c r="D555" s="7">
        <v>45746</v>
      </c>
      <c r="E555" t="s">
        <v>201</v>
      </c>
      <c r="F555" t="s">
        <v>214</v>
      </c>
      <c r="H555" s="7">
        <v>45767</v>
      </c>
      <c r="I555" t="s">
        <v>216</v>
      </c>
    </row>
    <row r="556" spans="1:9">
      <c r="A556">
        <v>50555</v>
      </c>
      <c r="B556">
        <v>3045</v>
      </c>
      <c r="C556">
        <v>2015</v>
      </c>
      <c r="D556" s="7">
        <v>45866</v>
      </c>
      <c r="E556" t="s">
        <v>212</v>
      </c>
      <c r="F556" t="s">
        <v>202</v>
      </c>
      <c r="G556">
        <v>20</v>
      </c>
      <c r="H556" s="7">
        <v>45873</v>
      </c>
      <c r="I556" t="s">
        <v>217</v>
      </c>
    </row>
    <row r="557" spans="1:9">
      <c r="A557">
        <v>50556</v>
      </c>
      <c r="B557">
        <v>3045</v>
      </c>
      <c r="C557">
        <v>2015</v>
      </c>
      <c r="D557" s="7">
        <v>46011</v>
      </c>
      <c r="E557" t="s">
        <v>204</v>
      </c>
      <c r="F557" t="s">
        <v>213</v>
      </c>
      <c r="H557" s="7">
        <v>46018</v>
      </c>
      <c r="I557" t="s">
        <v>209</v>
      </c>
    </row>
    <row r="558" spans="1:9">
      <c r="A558">
        <v>50557</v>
      </c>
      <c r="B558">
        <v>3045</v>
      </c>
      <c r="C558">
        <v>2015</v>
      </c>
      <c r="D558" s="7">
        <v>46023</v>
      </c>
      <c r="E558" t="s">
        <v>212</v>
      </c>
      <c r="F558" t="s">
        <v>214</v>
      </c>
      <c r="H558" s="7">
        <v>46053</v>
      </c>
      <c r="I558" t="s">
        <v>217</v>
      </c>
    </row>
    <row r="559" spans="1:9">
      <c r="A559">
        <v>50558</v>
      </c>
      <c r="B559">
        <v>3045</v>
      </c>
      <c r="C559">
        <v>2015</v>
      </c>
      <c r="D559" s="7">
        <v>46026</v>
      </c>
      <c r="E559" t="s">
        <v>210</v>
      </c>
      <c r="F559" t="s">
        <v>218</v>
      </c>
      <c r="H559" s="7"/>
      <c r="I559" t="s">
        <v>211</v>
      </c>
    </row>
    <row r="560" spans="1:9">
      <c r="A560">
        <v>50559</v>
      </c>
      <c r="B560">
        <v>3046</v>
      </c>
      <c r="C560">
        <v>2009</v>
      </c>
      <c r="D560" s="7">
        <v>45763</v>
      </c>
      <c r="E560" t="s">
        <v>204</v>
      </c>
      <c r="F560" t="s">
        <v>214</v>
      </c>
      <c r="H560" s="7">
        <v>45793</v>
      </c>
      <c r="I560" t="s">
        <v>207</v>
      </c>
    </row>
    <row r="561" spans="1:9">
      <c r="A561">
        <v>50560</v>
      </c>
      <c r="B561">
        <v>3046</v>
      </c>
      <c r="C561">
        <v>2009</v>
      </c>
      <c r="D561" s="7">
        <v>45802</v>
      </c>
      <c r="E561" t="s">
        <v>201</v>
      </c>
      <c r="F561" t="s">
        <v>218</v>
      </c>
      <c r="H561" s="7"/>
      <c r="I561" t="s">
        <v>217</v>
      </c>
    </row>
    <row r="562" spans="1:9">
      <c r="A562">
        <v>50561</v>
      </c>
      <c r="B562">
        <v>3046</v>
      </c>
      <c r="C562">
        <v>2009</v>
      </c>
      <c r="D562" s="7">
        <v>45816</v>
      </c>
      <c r="E562" t="s">
        <v>212</v>
      </c>
      <c r="F562" t="s">
        <v>213</v>
      </c>
      <c r="H562" s="7">
        <v>45846</v>
      </c>
      <c r="I562" t="s">
        <v>211</v>
      </c>
    </row>
    <row r="563" spans="1:9">
      <c r="A563">
        <v>50562</v>
      </c>
      <c r="B563">
        <v>3046</v>
      </c>
      <c r="C563">
        <v>2009</v>
      </c>
      <c r="D563" s="7">
        <v>45832</v>
      </c>
      <c r="E563" t="s">
        <v>204</v>
      </c>
      <c r="F563" t="s">
        <v>214</v>
      </c>
      <c r="H563" s="7">
        <v>45862</v>
      </c>
      <c r="I563" t="s">
        <v>216</v>
      </c>
    </row>
    <row r="564" spans="1:9">
      <c r="A564">
        <v>50563</v>
      </c>
      <c r="B564">
        <v>3046</v>
      </c>
      <c r="C564">
        <v>2009</v>
      </c>
      <c r="D564" s="7">
        <v>45883</v>
      </c>
      <c r="E564" t="s">
        <v>219</v>
      </c>
      <c r="F564" t="s">
        <v>202</v>
      </c>
      <c r="G564">
        <v>20</v>
      </c>
      <c r="H564" s="7">
        <v>45913</v>
      </c>
      <c r="I564" t="s">
        <v>207</v>
      </c>
    </row>
    <row r="565" spans="1:9">
      <c r="A565">
        <v>50564</v>
      </c>
      <c r="B565">
        <v>3046</v>
      </c>
      <c r="C565">
        <v>2009</v>
      </c>
      <c r="D565" s="7">
        <v>45890</v>
      </c>
      <c r="E565" t="s">
        <v>201</v>
      </c>
      <c r="F565" t="s">
        <v>214</v>
      </c>
      <c r="H565" s="7">
        <v>45897</v>
      </c>
      <c r="I565" t="s">
        <v>216</v>
      </c>
    </row>
    <row r="566" spans="1:9">
      <c r="A566">
        <v>50565</v>
      </c>
      <c r="B566">
        <v>3046</v>
      </c>
      <c r="C566">
        <v>2009</v>
      </c>
      <c r="D566" s="7">
        <v>45907</v>
      </c>
      <c r="E566" t="s">
        <v>208</v>
      </c>
      <c r="F566" t="s">
        <v>213</v>
      </c>
      <c r="H566" s="7">
        <v>45910</v>
      </c>
      <c r="I566" t="s">
        <v>203</v>
      </c>
    </row>
    <row r="567" spans="1:9">
      <c r="A567">
        <v>50566</v>
      </c>
      <c r="B567">
        <v>3046</v>
      </c>
      <c r="C567">
        <v>2009</v>
      </c>
      <c r="D567" s="7">
        <v>45927</v>
      </c>
      <c r="E567" t="s">
        <v>212</v>
      </c>
      <c r="F567" t="s">
        <v>218</v>
      </c>
      <c r="H567" s="7"/>
      <c r="I567" t="s">
        <v>206</v>
      </c>
    </row>
    <row r="568" spans="1:9">
      <c r="A568">
        <v>50567</v>
      </c>
      <c r="B568">
        <v>3046</v>
      </c>
      <c r="C568">
        <v>2009</v>
      </c>
      <c r="D568" s="7">
        <v>45966</v>
      </c>
      <c r="E568" t="s">
        <v>212</v>
      </c>
      <c r="F568" t="s">
        <v>215</v>
      </c>
      <c r="G568">
        <v>20</v>
      </c>
      <c r="H568" s="7">
        <v>45973</v>
      </c>
      <c r="I568" t="s">
        <v>211</v>
      </c>
    </row>
    <row r="569" spans="1:9">
      <c r="A569">
        <v>50568</v>
      </c>
      <c r="B569">
        <v>3046</v>
      </c>
      <c r="C569">
        <v>2009</v>
      </c>
      <c r="D569" s="7">
        <v>45993</v>
      </c>
      <c r="E569" t="s">
        <v>210</v>
      </c>
      <c r="F569" t="s">
        <v>205</v>
      </c>
      <c r="H569" s="7"/>
      <c r="I569" t="s">
        <v>203</v>
      </c>
    </row>
    <row r="570" spans="1:9">
      <c r="A570">
        <v>50569</v>
      </c>
      <c r="B570">
        <v>3046</v>
      </c>
      <c r="C570">
        <v>2009</v>
      </c>
      <c r="D570" s="7">
        <v>46003</v>
      </c>
      <c r="E570" t="s">
        <v>210</v>
      </c>
      <c r="F570" t="s">
        <v>218</v>
      </c>
      <c r="H570" s="7"/>
      <c r="I570" t="s">
        <v>209</v>
      </c>
    </row>
    <row r="571" spans="1:9">
      <c r="A571">
        <v>50570</v>
      </c>
      <c r="B571">
        <v>3046</v>
      </c>
      <c r="C571">
        <v>2009</v>
      </c>
      <c r="D571" s="7">
        <v>46015</v>
      </c>
      <c r="E571" t="s">
        <v>204</v>
      </c>
      <c r="F571" t="s">
        <v>202</v>
      </c>
      <c r="G571">
        <v>15</v>
      </c>
      <c r="H571" s="7">
        <v>46022</v>
      </c>
      <c r="I571" t="s">
        <v>211</v>
      </c>
    </row>
    <row r="572" spans="1:9">
      <c r="A572">
        <v>50571</v>
      </c>
      <c r="B572">
        <v>3046</v>
      </c>
      <c r="C572">
        <v>2009</v>
      </c>
      <c r="D572" s="7">
        <v>46048</v>
      </c>
      <c r="E572" t="s">
        <v>212</v>
      </c>
      <c r="F572" t="s">
        <v>202</v>
      </c>
      <c r="G572">
        <v>45</v>
      </c>
      <c r="H572" s="7">
        <v>46069</v>
      </c>
      <c r="I572" t="s">
        <v>207</v>
      </c>
    </row>
    <row r="573" spans="1:9">
      <c r="A573">
        <v>50572</v>
      </c>
      <c r="B573">
        <v>3046</v>
      </c>
      <c r="C573">
        <v>2009</v>
      </c>
      <c r="D573" s="7">
        <v>46077</v>
      </c>
      <c r="E573" t="s">
        <v>208</v>
      </c>
      <c r="F573" t="s">
        <v>202</v>
      </c>
      <c r="G573">
        <v>45</v>
      </c>
      <c r="H573" s="7">
        <v>46091</v>
      </c>
      <c r="I573" t="s">
        <v>209</v>
      </c>
    </row>
    <row r="574" spans="1:9">
      <c r="A574">
        <v>50573</v>
      </c>
      <c r="B574">
        <v>3046</v>
      </c>
      <c r="C574">
        <v>2009</v>
      </c>
      <c r="D574" s="7">
        <v>46099</v>
      </c>
      <c r="E574" t="s">
        <v>201</v>
      </c>
      <c r="F574" t="s">
        <v>215</v>
      </c>
      <c r="G574">
        <v>10</v>
      </c>
      <c r="H574" s="7">
        <v>46129</v>
      </c>
      <c r="I574" t="s">
        <v>217</v>
      </c>
    </row>
    <row r="575" spans="1:9">
      <c r="A575">
        <v>50574</v>
      </c>
      <c r="B575">
        <v>3046</v>
      </c>
      <c r="C575">
        <v>2009</v>
      </c>
      <c r="D575" s="7">
        <v>46156</v>
      </c>
      <c r="E575" t="s">
        <v>212</v>
      </c>
      <c r="F575" t="s">
        <v>202</v>
      </c>
      <c r="G575">
        <v>15</v>
      </c>
      <c r="H575" s="7">
        <v>46159</v>
      </c>
      <c r="I575" t="s">
        <v>206</v>
      </c>
    </row>
    <row r="576" spans="1:9">
      <c r="A576">
        <v>50575</v>
      </c>
      <c r="B576">
        <v>3046</v>
      </c>
      <c r="C576">
        <v>2009</v>
      </c>
      <c r="D576" s="7">
        <v>46198</v>
      </c>
      <c r="E576" t="s">
        <v>201</v>
      </c>
      <c r="F576" t="s">
        <v>218</v>
      </c>
      <c r="H576" s="7"/>
      <c r="I576" t="s">
        <v>209</v>
      </c>
    </row>
    <row r="577" spans="1:9">
      <c r="A577">
        <v>50576</v>
      </c>
      <c r="B577">
        <v>3047</v>
      </c>
      <c r="C577">
        <v>2003</v>
      </c>
      <c r="D577" s="7">
        <v>45917</v>
      </c>
      <c r="E577" t="s">
        <v>210</v>
      </c>
      <c r="F577" t="s">
        <v>213</v>
      </c>
      <c r="H577" s="7">
        <v>45931</v>
      </c>
      <c r="I577" t="s">
        <v>216</v>
      </c>
    </row>
    <row r="578" spans="1:9">
      <c r="A578">
        <v>50577</v>
      </c>
      <c r="B578">
        <v>3047</v>
      </c>
      <c r="C578">
        <v>2003</v>
      </c>
      <c r="D578" s="7">
        <v>46032</v>
      </c>
      <c r="E578" t="s">
        <v>201</v>
      </c>
      <c r="F578" t="s">
        <v>202</v>
      </c>
      <c r="G578">
        <v>20</v>
      </c>
      <c r="H578" s="7">
        <v>46039</v>
      </c>
      <c r="I578" t="s">
        <v>217</v>
      </c>
    </row>
    <row r="579" spans="1:9">
      <c r="A579">
        <v>50578</v>
      </c>
      <c r="B579">
        <v>3047</v>
      </c>
      <c r="C579">
        <v>2003</v>
      </c>
      <c r="D579" s="7">
        <v>46046</v>
      </c>
      <c r="E579" t="s">
        <v>212</v>
      </c>
      <c r="F579" t="s">
        <v>215</v>
      </c>
      <c r="G579">
        <v>20</v>
      </c>
      <c r="H579" s="7">
        <v>46049</v>
      </c>
      <c r="I579" t="s">
        <v>211</v>
      </c>
    </row>
    <row r="580" spans="1:9">
      <c r="A580">
        <v>50579</v>
      </c>
      <c r="B580">
        <v>3047</v>
      </c>
      <c r="C580">
        <v>2003</v>
      </c>
      <c r="D580" s="7">
        <v>46063</v>
      </c>
      <c r="E580" t="s">
        <v>204</v>
      </c>
      <c r="F580" t="s">
        <v>202</v>
      </c>
      <c r="G580">
        <v>45</v>
      </c>
      <c r="H580" s="7">
        <v>46077</v>
      </c>
      <c r="I580" t="s">
        <v>203</v>
      </c>
    </row>
    <row r="581" spans="1:9">
      <c r="A581">
        <v>50580</v>
      </c>
      <c r="B581">
        <v>3047</v>
      </c>
      <c r="C581">
        <v>2003</v>
      </c>
      <c r="D581" s="7">
        <v>46100</v>
      </c>
      <c r="E581" t="s">
        <v>210</v>
      </c>
      <c r="F581" t="s">
        <v>214</v>
      </c>
      <c r="H581" s="7">
        <v>46107</v>
      </c>
      <c r="I581" t="s">
        <v>216</v>
      </c>
    </row>
    <row r="582" spans="1:9">
      <c r="A582">
        <v>50581</v>
      </c>
      <c r="B582">
        <v>3047</v>
      </c>
      <c r="C582">
        <v>2003</v>
      </c>
      <c r="D582" s="7">
        <v>46106</v>
      </c>
      <c r="E582" t="s">
        <v>201</v>
      </c>
      <c r="F582" t="s">
        <v>202</v>
      </c>
      <c r="G582">
        <v>45</v>
      </c>
      <c r="H582" s="7">
        <v>46109</v>
      </c>
      <c r="I582" t="s">
        <v>207</v>
      </c>
    </row>
    <row r="583" spans="1:9">
      <c r="A583">
        <v>50582</v>
      </c>
      <c r="B583">
        <v>3047</v>
      </c>
      <c r="C583">
        <v>2003</v>
      </c>
      <c r="D583" s="7">
        <v>46115</v>
      </c>
      <c r="E583" t="s">
        <v>212</v>
      </c>
      <c r="F583" t="s">
        <v>214</v>
      </c>
      <c r="H583" s="7">
        <v>46129</v>
      </c>
      <c r="I583" t="s">
        <v>216</v>
      </c>
    </row>
    <row r="584" spans="1:9">
      <c r="A584">
        <v>50583</v>
      </c>
      <c r="B584">
        <v>3047</v>
      </c>
      <c r="C584">
        <v>2003</v>
      </c>
      <c r="D584" s="7">
        <v>46124</v>
      </c>
      <c r="E584" t="s">
        <v>212</v>
      </c>
      <c r="F584" t="s">
        <v>202</v>
      </c>
      <c r="G584">
        <v>90</v>
      </c>
      <c r="H584" s="7">
        <v>46131</v>
      </c>
      <c r="I584" t="s">
        <v>206</v>
      </c>
    </row>
    <row r="585" spans="1:9">
      <c r="A585">
        <v>50584</v>
      </c>
      <c r="B585">
        <v>3047</v>
      </c>
      <c r="C585">
        <v>2003</v>
      </c>
      <c r="D585" s="7">
        <v>46144</v>
      </c>
      <c r="E585" t="s">
        <v>201</v>
      </c>
      <c r="F585" t="s">
        <v>202</v>
      </c>
      <c r="G585">
        <v>20</v>
      </c>
      <c r="H585" s="7">
        <v>46174</v>
      </c>
      <c r="I585" t="s">
        <v>216</v>
      </c>
    </row>
    <row r="586" spans="1:9">
      <c r="A586">
        <v>50585</v>
      </c>
      <c r="B586">
        <v>3047</v>
      </c>
      <c r="C586">
        <v>2003</v>
      </c>
      <c r="D586" s="7">
        <v>46179</v>
      </c>
      <c r="E586" t="s">
        <v>201</v>
      </c>
      <c r="F586" t="s">
        <v>202</v>
      </c>
      <c r="G586">
        <v>20</v>
      </c>
      <c r="H586" s="7">
        <v>46182</v>
      </c>
      <c r="I586" t="s">
        <v>216</v>
      </c>
    </row>
    <row r="587" spans="1:9">
      <c r="A587">
        <v>50586</v>
      </c>
      <c r="B587">
        <v>3047</v>
      </c>
      <c r="C587">
        <v>2003</v>
      </c>
      <c r="D587" s="7">
        <v>46212</v>
      </c>
      <c r="E587" t="s">
        <v>212</v>
      </c>
      <c r="F587" t="s">
        <v>202</v>
      </c>
      <c r="G587">
        <v>45</v>
      </c>
      <c r="H587" s="7"/>
      <c r="I587" t="s">
        <v>217</v>
      </c>
    </row>
    <row r="588" spans="1:9">
      <c r="A588">
        <v>50587</v>
      </c>
      <c r="B588">
        <v>3048</v>
      </c>
      <c r="C588">
        <v>2011</v>
      </c>
      <c r="D588" s="7">
        <v>45484</v>
      </c>
      <c r="E588" t="s">
        <v>204</v>
      </c>
      <c r="F588" t="s">
        <v>202</v>
      </c>
      <c r="G588">
        <v>10</v>
      </c>
      <c r="H588" s="7">
        <v>45505</v>
      </c>
      <c r="I588" t="s">
        <v>209</v>
      </c>
    </row>
    <row r="589" spans="1:9">
      <c r="A589">
        <v>50588</v>
      </c>
      <c r="B589">
        <v>3048</v>
      </c>
      <c r="C589">
        <v>2011</v>
      </c>
      <c r="D589" s="7">
        <v>45533</v>
      </c>
      <c r="E589" t="s">
        <v>201</v>
      </c>
      <c r="F589" t="s">
        <v>213</v>
      </c>
      <c r="H589" s="7">
        <v>45536</v>
      </c>
      <c r="I589" t="s">
        <v>217</v>
      </c>
    </row>
    <row r="590" spans="1:9">
      <c r="A590">
        <v>50589</v>
      </c>
      <c r="B590">
        <v>3048</v>
      </c>
      <c r="C590">
        <v>2011</v>
      </c>
      <c r="D590" s="7">
        <v>45535</v>
      </c>
      <c r="E590" t="s">
        <v>201</v>
      </c>
      <c r="F590" t="s">
        <v>213</v>
      </c>
      <c r="H590" s="7">
        <v>45565</v>
      </c>
      <c r="I590" t="s">
        <v>211</v>
      </c>
    </row>
    <row r="591" spans="1:9">
      <c r="A591">
        <v>50590</v>
      </c>
      <c r="B591">
        <v>3048</v>
      </c>
      <c r="C591">
        <v>2011</v>
      </c>
      <c r="D591" s="7">
        <v>45540</v>
      </c>
      <c r="E591" t="s">
        <v>219</v>
      </c>
      <c r="F591" t="s">
        <v>213</v>
      </c>
      <c r="H591" s="7">
        <v>45570</v>
      </c>
      <c r="I591" t="s">
        <v>217</v>
      </c>
    </row>
    <row r="592" spans="1:9">
      <c r="A592">
        <v>50591</v>
      </c>
      <c r="B592">
        <v>3048</v>
      </c>
      <c r="C592">
        <v>2011</v>
      </c>
      <c r="D592" s="7">
        <v>45582</v>
      </c>
      <c r="E592" t="s">
        <v>219</v>
      </c>
      <c r="F592" t="s">
        <v>202</v>
      </c>
      <c r="G592">
        <v>30</v>
      </c>
      <c r="H592" s="7">
        <v>45585</v>
      </c>
      <c r="I592" t="s">
        <v>211</v>
      </c>
    </row>
    <row r="593" spans="1:9">
      <c r="A593">
        <v>50592</v>
      </c>
      <c r="B593">
        <v>3048</v>
      </c>
      <c r="C593">
        <v>2011</v>
      </c>
      <c r="D593" s="7">
        <v>45587</v>
      </c>
      <c r="E593" t="s">
        <v>212</v>
      </c>
      <c r="F593" t="s">
        <v>202</v>
      </c>
      <c r="G593">
        <v>90</v>
      </c>
      <c r="H593" s="7">
        <v>45601</v>
      </c>
      <c r="I593" t="s">
        <v>211</v>
      </c>
    </row>
    <row r="594" spans="1:9">
      <c r="A594">
        <v>50593</v>
      </c>
      <c r="B594">
        <v>3048</v>
      </c>
      <c r="C594">
        <v>2011</v>
      </c>
      <c r="D594" s="7">
        <v>45617</v>
      </c>
      <c r="E594" t="s">
        <v>212</v>
      </c>
      <c r="F594" t="s">
        <v>202</v>
      </c>
      <c r="G594">
        <v>45</v>
      </c>
      <c r="H594" s="7">
        <v>45620</v>
      </c>
      <c r="I594" t="s">
        <v>203</v>
      </c>
    </row>
    <row r="595" spans="1:9">
      <c r="A595">
        <v>50594</v>
      </c>
      <c r="B595">
        <v>3048</v>
      </c>
      <c r="C595">
        <v>2011</v>
      </c>
      <c r="D595" s="7">
        <v>45654</v>
      </c>
      <c r="E595" t="s">
        <v>219</v>
      </c>
      <c r="F595" t="s">
        <v>202</v>
      </c>
      <c r="G595">
        <v>45</v>
      </c>
      <c r="H595" s="7">
        <v>45657</v>
      </c>
      <c r="I595" t="s">
        <v>216</v>
      </c>
    </row>
    <row r="596" spans="1:9">
      <c r="A596">
        <v>50595</v>
      </c>
      <c r="B596">
        <v>3048</v>
      </c>
      <c r="C596">
        <v>2011</v>
      </c>
      <c r="D596" s="7">
        <v>45662</v>
      </c>
      <c r="E596" t="s">
        <v>204</v>
      </c>
      <c r="F596" t="s">
        <v>202</v>
      </c>
      <c r="G596">
        <v>10</v>
      </c>
      <c r="H596" s="7">
        <v>45676</v>
      </c>
      <c r="I596" t="s">
        <v>211</v>
      </c>
    </row>
    <row r="597" spans="1:9">
      <c r="A597">
        <v>50596</v>
      </c>
      <c r="B597">
        <v>3048</v>
      </c>
      <c r="C597">
        <v>2011</v>
      </c>
      <c r="D597" s="7">
        <v>45751</v>
      </c>
      <c r="E597" t="s">
        <v>212</v>
      </c>
      <c r="F597" t="s">
        <v>202</v>
      </c>
      <c r="G597">
        <v>20</v>
      </c>
      <c r="H597" s="7">
        <v>45765</v>
      </c>
      <c r="I597" t="s">
        <v>207</v>
      </c>
    </row>
    <row r="598" spans="1:9">
      <c r="A598">
        <v>50597</v>
      </c>
      <c r="B598">
        <v>3048</v>
      </c>
      <c r="C598">
        <v>2011</v>
      </c>
      <c r="D598" s="7">
        <v>45754</v>
      </c>
      <c r="E598" t="s">
        <v>204</v>
      </c>
      <c r="F598" t="s">
        <v>218</v>
      </c>
      <c r="H598" s="7"/>
      <c r="I598" t="s">
        <v>203</v>
      </c>
    </row>
    <row r="599" spans="1:9">
      <c r="A599">
        <v>50598</v>
      </c>
      <c r="B599">
        <v>3048</v>
      </c>
      <c r="C599">
        <v>2011</v>
      </c>
      <c r="D599" s="7">
        <v>45791</v>
      </c>
      <c r="E599" t="s">
        <v>212</v>
      </c>
      <c r="F599" t="s">
        <v>202</v>
      </c>
      <c r="G599">
        <v>10</v>
      </c>
      <c r="H599" s="7">
        <v>45805</v>
      </c>
      <c r="I599" t="s">
        <v>216</v>
      </c>
    </row>
    <row r="600" spans="1:9">
      <c r="A600">
        <v>50599</v>
      </c>
      <c r="B600">
        <v>3048</v>
      </c>
      <c r="C600">
        <v>2011</v>
      </c>
      <c r="D600" s="7">
        <v>45808</v>
      </c>
      <c r="E600" t="s">
        <v>208</v>
      </c>
      <c r="F600" t="s">
        <v>202</v>
      </c>
      <c r="G600">
        <v>45</v>
      </c>
      <c r="H600" s="7">
        <v>45838</v>
      </c>
      <c r="I600" t="s">
        <v>206</v>
      </c>
    </row>
    <row r="601" spans="1:9">
      <c r="A601">
        <v>50600</v>
      </c>
      <c r="B601">
        <v>3048</v>
      </c>
      <c r="C601">
        <v>2011</v>
      </c>
      <c r="D601" s="7">
        <v>45837</v>
      </c>
      <c r="E601" t="s">
        <v>201</v>
      </c>
      <c r="F601" t="s">
        <v>213</v>
      </c>
      <c r="H601" s="7">
        <v>45858</v>
      </c>
      <c r="I601" t="s">
        <v>207</v>
      </c>
    </row>
    <row r="602" spans="1:9">
      <c r="A602">
        <v>50601</v>
      </c>
      <c r="B602">
        <v>3048</v>
      </c>
      <c r="C602">
        <v>2011</v>
      </c>
      <c r="D602" s="7">
        <v>45845</v>
      </c>
      <c r="E602" t="s">
        <v>219</v>
      </c>
      <c r="F602" t="s">
        <v>202</v>
      </c>
      <c r="G602">
        <v>30</v>
      </c>
      <c r="H602" s="7">
        <v>45859</v>
      </c>
      <c r="I602" t="s">
        <v>206</v>
      </c>
    </row>
    <row r="603" spans="1:9">
      <c r="A603">
        <v>50602</v>
      </c>
      <c r="B603">
        <v>3048</v>
      </c>
      <c r="C603">
        <v>2011</v>
      </c>
      <c r="D603" s="7">
        <v>45849</v>
      </c>
      <c r="E603" t="s">
        <v>212</v>
      </c>
      <c r="F603" t="s">
        <v>202</v>
      </c>
      <c r="G603">
        <v>45</v>
      </c>
      <c r="H603" s="7">
        <v>45870</v>
      </c>
      <c r="I603" t="s">
        <v>217</v>
      </c>
    </row>
    <row r="604" spans="1:9">
      <c r="A604">
        <v>50603</v>
      </c>
      <c r="B604">
        <v>3049</v>
      </c>
      <c r="C604">
        <v>2008</v>
      </c>
      <c r="D604" s="7">
        <v>45676</v>
      </c>
      <c r="E604" t="s">
        <v>201</v>
      </c>
      <c r="F604" t="s">
        <v>202</v>
      </c>
      <c r="G604">
        <v>90</v>
      </c>
      <c r="H604" s="7">
        <v>45690</v>
      </c>
      <c r="I604" t="s">
        <v>216</v>
      </c>
    </row>
    <row r="605" spans="1:9">
      <c r="A605">
        <v>50604</v>
      </c>
      <c r="B605">
        <v>3049</v>
      </c>
      <c r="C605">
        <v>2008</v>
      </c>
      <c r="D605" s="7">
        <v>45706</v>
      </c>
      <c r="E605" t="s">
        <v>210</v>
      </c>
      <c r="F605" t="s">
        <v>213</v>
      </c>
      <c r="H605" s="7">
        <v>45736</v>
      </c>
      <c r="I605" t="s">
        <v>216</v>
      </c>
    </row>
    <row r="606" spans="1:9">
      <c r="A606">
        <v>50605</v>
      </c>
      <c r="B606">
        <v>3049</v>
      </c>
      <c r="C606">
        <v>2008</v>
      </c>
      <c r="D606" s="7">
        <v>45722</v>
      </c>
      <c r="E606" t="s">
        <v>212</v>
      </c>
      <c r="F606" t="s">
        <v>202</v>
      </c>
      <c r="G606">
        <v>45</v>
      </c>
      <c r="H606" s="7">
        <v>45729</v>
      </c>
      <c r="I606" t="s">
        <v>209</v>
      </c>
    </row>
    <row r="607" spans="1:9">
      <c r="A607">
        <v>50606</v>
      </c>
      <c r="B607">
        <v>3049</v>
      </c>
      <c r="C607">
        <v>2008</v>
      </c>
      <c r="D607" s="7">
        <v>45738</v>
      </c>
      <c r="E607" t="s">
        <v>212</v>
      </c>
      <c r="F607" t="s">
        <v>218</v>
      </c>
      <c r="H607" s="7"/>
      <c r="I607" t="s">
        <v>207</v>
      </c>
    </row>
    <row r="608" spans="1:9">
      <c r="A608">
        <v>50607</v>
      </c>
      <c r="B608">
        <v>3049</v>
      </c>
      <c r="C608">
        <v>2008</v>
      </c>
      <c r="D608" s="7">
        <v>45740</v>
      </c>
      <c r="E608" t="s">
        <v>210</v>
      </c>
      <c r="F608" t="s">
        <v>218</v>
      </c>
      <c r="H608" s="7"/>
      <c r="I608" t="s">
        <v>203</v>
      </c>
    </row>
    <row r="609" spans="1:9">
      <c r="A609">
        <v>50608</v>
      </c>
      <c r="B609">
        <v>3049</v>
      </c>
      <c r="C609">
        <v>2008</v>
      </c>
      <c r="D609" s="7">
        <v>45746</v>
      </c>
      <c r="E609" t="s">
        <v>208</v>
      </c>
      <c r="F609" t="s">
        <v>202</v>
      </c>
      <c r="G609">
        <v>20</v>
      </c>
      <c r="H609" s="7">
        <v>45749</v>
      </c>
      <c r="I609" t="s">
        <v>217</v>
      </c>
    </row>
    <row r="610" spans="1:9">
      <c r="A610">
        <v>50609</v>
      </c>
      <c r="B610">
        <v>3049</v>
      </c>
      <c r="C610">
        <v>2008</v>
      </c>
      <c r="D610" s="7">
        <v>45747</v>
      </c>
      <c r="E610" t="s">
        <v>208</v>
      </c>
      <c r="F610" t="s">
        <v>202</v>
      </c>
      <c r="G610">
        <v>45</v>
      </c>
      <c r="H610" s="7">
        <v>45750</v>
      </c>
      <c r="I610" t="s">
        <v>203</v>
      </c>
    </row>
    <row r="611" spans="1:9">
      <c r="A611">
        <v>50610</v>
      </c>
      <c r="B611">
        <v>3049</v>
      </c>
      <c r="C611">
        <v>2008</v>
      </c>
      <c r="D611" s="7">
        <v>45749</v>
      </c>
      <c r="E611" t="s">
        <v>201</v>
      </c>
      <c r="F611" t="s">
        <v>215</v>
      </c>
      <c r="G611">
        <v>60</v>
      </c>
      <c r="H611" s="7">
        <v>45763</v>
      </c>
      <c r="I611" t="s">
        <v>217</v>
      </c>
    </row>
    <row r="612" spans="1:9">
      <c r="A612">
        <v>50611</v>
      </c>
      <c r="B612">
        <v>3049</v>
      </c>
      <c r="C612">
        <v>2008</v>
      </c>
      <c r="D612" s="7">
        <v>45757</v>
      </c>
      <c r="E612" t="s">
        <v>212</v>
      </c>
      <c r="F612" t="s">
        <v>218</v>
      </c>
      <c r="H612" s="7"/>
      <c r="I612" t="s">
        <v>216</v>
      </c>
    </row>
    <row r="613" spans="1:9">
      <c r="A613">
        <v>50612</v>
      </c>
      <c r="B613">
        <v>3049</v>
      </c>
      <c r="C613">
        <v>2008</v>
      </c>
      <c r="D613" s="7">
        <v>45769</v>
      </c>
      <c r="E613" t="s">
        <v>201</v>
      </c>
      <c r="F613" t="s">
        <v>202</v>
      </c>
      <c r="G613">
        <v>45</v>
      </c>
      <c r="H613" s="7">
        <v>45790</v>
      </c>
      <c r="I613" t="s">
        <v>206</v>
      </c>
    </row>
    <row r="614" spans="1:9">
      <c r="A614">
        <v>50613</v>
      </c>
      <c r="B614">
        <v>3049</v>
      </c>
      <c r="C614">
        <v>2008</v>
      </c>
      <c r="D614" s="7">
        <v>45771</v>
      </c>
      <c r="E614" t="s">
        <v>204</v>
      </c>
      <c r="F614" t="s">
        <v>202</v>
      </c>
      <c r="G614">
        <v>90</v>
      </c>
      <c r="H614" s="7">
        <v>45785</v>
      </c>
      <c r="I614" t="s">
        <v>203</v>
      </c>
    </row>
    <row r="615" spans="1:9">
      <c r="A615">
        <v>50614</v>
      </c>
      <c r="B615">
        <v>3049</v>
      </c>
      <c r="C615">
        <v>2008</v>
      </c>
      <c r="D615" s="7">
        <v>45801</v>
      </c>
      <c r="E615" t="s">
        <v>204</v>
      </c>
      <c r="F615" t="s">
        <v>202</v>
      </c>
      <c r="G615">
        <v>20</v>
      </c>
      <c r="H615" s="7">
        <v>45822</v>
      </c>
      <c r="I615" t="s">
        <v>209</v>
      </c>
    </row>
    <row r="616" spans="1:9">
      <c r="A616">
        <v>50615</v>
      </c>
      <c r="B616">
        <v>3049</v>
      </c>
      <c r="C616">
        <v>2008</v>
      </c>
      <c r="D616" s="7">
        <v>45822</v>
      </c>
      <c r="E616" t="s">
        <v>204</v>
      </c>
      <c r="F616" t="s">
        <v>214</v>
      </c>
      <c r="H616" s="7">
        <v>45829</v>
      </c>
      <c r="I616" t="s">
        <v>206</v>
      </c>
    </row>
    <row r="617" spans="1:9">
      <c r="A617">
        <v>50616</v>
      </c>
      <c r="B617">
        <v>3050</v>
      </c>
      <c r="C617">
        <v>2003</v>
      </c>
      <c r="D617" s="7">
        <v>45936</v>
      </c>
      <c r="E617" t="s">
        <v>208</v>
      </c>
      <c r="F617" t="s">
        <v>214</v>
      </c>
      <c r="H617" s="7">
        <v>45966</v>
      </c>
      <c r="I617" t="s">
        <v>203</v>
      </c>
    </row>
    <row r="618" spans="1:9">
      <c r="A618">
        <v>50617</v>
      </c>
      <c r="B618">
        <v>3050</v>
      </c>
      <c r="C618">
        <v>2003</v>
      </c>
      <c r="D618" s="7">
        <v>46008</v>
      </c>
      <c r="E618" t="s">
        <v>210</v>
      </c>
      <c r="F618" t="s">
        <v>202</v>
      </c>
      <c r="G618">
        <v>10</v>
      </c>
      <c r="H618" s="7">
        <v>46029</v>
      </c>
      <c r="I618" t="s">
        <v>209</v>
      </c>
    </row>
    <row r="619" spans="1:9">
      <c r="A619">
        <v>50618</v>
      </c>
      <c r="B619">
        <v>3050</v>
      </c>
      <c r="C619">
        <v>2003</v>
      </c>
      <c r="D619" s="7">
        <v>46021</v>
      </c>
      <c r="E619" t="s">
        <v>219</v>
      </c>
      <c r="F619" t="s">
        <v>213</v>
      </c>
      <c r="H619" s="7">
        <v>46035</v>
      </c>
      <c r="I619" t="s">
        <v>207</v>
      </c>
    </row>
    <row r="620" spans="1:9">
      <c r="A620">
        <v>50619</v>
      </c>
      <c r="B620">
        <v>3050</v>
      </c>
      <c r="C620">
        <v>2003</v>
      </c>
      <c r="D620" s="7">
        <v>46053</v>
      </c>
      <c r="E620" t="s">
        <v>210</v>
      </c>
      <c r="F620" t="s">
        <v>215</v>
      </c>
      <c r="G620">
        <v>30</v>
      </c>
      <c r="H620" s="7">
        <v>46060</v>
      </c>
      <c r="I620" t="s">
        <v>206</v>
      </c>
    </row>
    <row r="621" spans="1:9">
      <c r="A621">
        <v>50620</v>
      </c>
      <c r="B621">
        <v>3050</v>
      </c>
      <c r="C621">
        <v>2003</v>
      </c>
      <c r="D621" s="7">
        <v>46087</v>
      </c>
      <c r="E621" t="s">
        <v>201</v>
      </c>
      <c r="F621" t="s">
        <v>213</v>
      </c>
      <c r="H621" s="7">
        <v>46101</v>
      </c>
      <c r="I621" t="s">
        <v>211</v>
      </c>
    </row>
    <row r="622" spans="1:9">
      <c r="A622">
        <v>50621</v>
      </c>
      <c r="B622">
        <v>3050</v>
      </c>
      <c r="C622">
        <v>2003</v>
      </c>
      <c r="D622" s="7">
        <v>46200</v>
      </c>
      <c r="E622" t="s">
        <v>204</v>
      </c>
      <c r="F622" t="s">
        <v>202</v>
      </c>
      <c r="G622">
        <v>90</v>
      </c>
      <c r="H622" s="7"/>
      <c r="I622" t="s">
        <v>211</v>
      </c>
    </row>
    <row r="623" spans="1:9">
      <c r="A623">
        <v>50622</v>
      </c>
      <c r="B623">
        <v>3051</v>
      </c>
      <c r="C623">
        <v>2005</v>
      </c>
      <c r="D623" s="7">
        <v>45750</v>
      </c>
      <c r="E623" t="s">
        <v>210</v>
      </c>
      <c r="F623" t="s">
        <v>213</v>
      </c>
      <c r="H623" s="7">
        <v>45771</v>
      </c>
      <c r="I623" t="s">
        <v>203</v>
      </c>
    </row>
    <row r="624" spans="1:9">
      <c r="A624">
        <v>50623</v>
      </c>
      <c r="B624">
        <v>3051</v>
      </c>
      <c r="C624">
        <v>2005</v>
      </c>
      <c r="D624" s="7">
        <v>45773</v>
      </c>
      <c r="E624" t="s">
        <v>212</v>
      </c>
      <c r="F624" t="s">
        <v>202</v>
      </c>
      <c r="G624">
        <v>10</v>
      </c>
      <c r="H624" s="7">
        <v>45794</v>
      </c>
      <c r="I624" t="s">
        <v>211</v>
      </c>
    </row>
    <row r="625" spans="1:9">
      <c r="A625">
        <v>50624</v>
      </c>
      <c r="B625">
        <v>3051</v>
      </c>
      <c r="C625">
        <v>2005</v>
      </c>
      <c r="D625" s="7">
        <v>45822</v>
      </c>
      <c r="E625" t="s">
        <v>210</v>
      </c>
      <c r="F625" t="s">
        <v>214</v>
      </c>
      <c r="H625" s="7">
        <v>45829</v>
      </c>
      <c r="I625" t="s">
        <v>211</v>
      </c>
    </row>
    <row r="626" spans="1:9">
      <c r="A626">
        <v>50625</v>
      </c>
      <c r="B626">
        <v>3051</v>
      </c>
      <c r="C626">
        <v>2005</v>
      </c>
      <c r="D626" s="7">
        <v>45835</v>
      </c>
      <c r="E626" t="s">
        <v>212</v>
      </c>
      <c r="F626" t="s">
        <v>202</v>
      </c>
      <c r="G626">
        <v>10</v>
      </c>
      <c r="H626" s="7">
        <v>45856</v>
      </c>
      <c r="I626" t="s">
        <v>207</v>
      </c>
    </row>
    <row r="627" spans="1:9">
      <c r="A627">
        <v>50626</v>
      </c>
      <c r="B627">
        <v>3051</v>
      </c>
      <c r="C627">
        <v>2005</v>
      </c>
      <c r="D627" s="7">
        <v>45887</v>
      </c>
      <c r="E627" t="s">
        <v>219</v>
      </c>
      <c r="F627" t="s">
        <v>205</v>
      </c>
      <c r="H627" s="7"/>
      <c r="I627" t="s">
        <v>211</v>
      </c>
    </row>
    <row r="628" spans="1:9">
      <c r="A628">
        <v>50627</v>
      </c>
      <c r="B628">
        <v>3051</v>
      </c>
      <c r="C628">
        <v>2005</v>
      </c>
      <c r="D628" s="7">
        <v>45928</v>
      </c>
      <c r="E628" t="s">
        <v>201</v>
      </c>
      <c r="F628" t="s">
        <v>214</v>
      </c>
      <c r="H628" s="7">
        <v>45949</v>
      </c>
      <c r="I628" t="s">
        <v>217</v>
      </c>
    </row>
    <row r="629" spans="1:9">
      <c r="A629">
        <v>50628</v>
      </c>
      <c r="B629">
        <v>3051</v>
      </c>
      <c r="C629">
        <v>2005</v>
      </c>
      <c r="D629" s="7">
        <v>45970</v>
      </c>
      <c r="E629" t="s">
        <v>204</v>
      </c>
      <c r="F629" t="s">
        <v>214</v>
      </c>
      <c r="H629" s="7">
        <v>45991</v>
      </c>
      <c r="I629" t="s">
        <v>217</v>
      </c>
    </row>
    <row r="630" spans="1:9">
      <c r="A630">
        <v>50629</v>
      </c>
      <c r="B630">
        <v>3051</v>
      </c>
      <c r="C630">
        <v>2005</v>
      </c>
      <c r="D630" s="7">
        <v>45974</v>
      </c>
      <c r="E630" t="s">
        <v>210</v>
      </c>
      <c r="F630" t="s">
        <v>215</v>
      </c>
      <c r="G630">
        <v>10</v>
      </c>
      <c r="H630" s="7">
        <v>45981</v>
      </c>
      <c r="I630" t="s">
        <v>217</v>
      </c>
    </row>
    <row r="631" spans="1:9">
      <c r="A631">
        <v>50630</v>
      </c>
      <c r="B631">
        <v>3051</v>
      </c>
      <c r="C631">
        <v>2005</v>
      </c>
      <c r="D631" s="7">
        <v>45976</v>
      </c>
      <c r="E631" t="s">
        <v>212</v>
      </c>
      <c r="F631" t="s">
        <v>214</v>
      </c>
      <c r="H631" s="7">
        <v>45997</v>
      </c>
      <c r="I631" t="s">
        <v>203</v>
      </c>
    </row>
    <row r="632" spans="1:9">
      <c r="A632">
        <v>50631</v>
      </c>
      <c r="B632">
        <v>3051</v>
      </c>
      <c r="C632">
        <v>2005</v>
      </c>
      <c r="D632" s="7">
        <v>46018</v>
      </c>
      <c r="E632" t="s">
        <v>204</v>
      </c>
      <c r="F632" t="s">
        <v>214</v>
      </c>
      <c r="H632" s="7">
        <v>46032</v>
      </c>
      <c r="I632" t="s">
        <v>203</v>
      </c>
    </row>
    <row r="633" spans="1:9">
      <c r="A633">
        <v>50632</v>
      </c>
      <c r="B633">
        <v>3051</v>
      </c>
      <c r="C633">
        <v>2005</v>
      </c>
      <c r="D633" s="7">
        <v>46027</v>
      </c>
      <c r="E633" t="s">
        <v>201</v>
      </c>
      <c r="F633" t="s">
        <v>202</v>
      </c>
      <c r="G633">
        <v>60</v>
      </c>
      <c r="H633" s="7">
        <v>46030</v>
      </c>
      <c r="I633" t="s">
        <v>206</v>
      </c>
    </row>
    <row r="634" spans="1:9">
      <c r="A634">
        <v>50633</v>
      </c>
      <c r="B634">
        <v>3051</v>
      </c>
      <c r="C634">
        <v>2005</v>
      </c>
      <c r="D634" s="7">
        <v>46071</v>
      </c>
      <c r="E634" t="s">
        <v>210</v>
      </c>
      <c r="F634" t="s">
        <v>213</v>
      </c>
      <c r="H634" s="7">
        <v>46092</v>
      </c>
      <c r="I634" t="s">
        <v>211</v>
      </c>
    </row>
    <row r="635" spans="1:9">
      <c r="A635">
        <v>50634</v>
      </c>
      <c r="B635">
        <v>3051</v>
      </c>
      <c r="C635">
        <v>2005</v>
      </c>
      <c r="D635" s="7">
        <v>46074</v>
      </c>
      <c r="E635" t="s">
        <v>204</v>
      </c>
      <c r="F635" t="s">
        <v>218</v>
      </c>
      <c r="H635" s="7"/>
      <c r="I635" t="s">
        <v>217</v>
      </c>
    </row>
    <row r="636" spans="1:9">
      <c r="A636">
        <v>50635</v>
      </c>
      <c r="B636">
        <v>3052</v>
      </c>
      <c r="C636">
        <v>2008</v>
      </c>
      <c r="D636" s="7">
        <v>45859</v>
      </c>
      <c r="E636" t="s">
        <v>212</v>
      </c>
      <c r="F636" t="s">
        <v>202</v>
      </c>
      <c r="G636">
        <v>20</v>
      </c>
      <c r="H636" s="7">
        <v>45873</v>
      </c>
      <c r="I636" t="s">
        <v>206</v>
      </c>
    </row>
    <row r="637" spans="1:9">
      <c r="A637">
        <v>50636</v>
      </c>
      <c r="B637">
        <v>3052</v>
      </c>
      <c r="C637">
        <v>2008</v>
      </c>
      <c r="D637" s="7">
        <v>45943</v>
      </c>
      <c r="E637" t="s">
        <v>201</v>
      </c>
      <c r="F637" t="s">
        <v>215</v>
      </c>
      <c r="G637">
        <v>15</v>
      </c>
      <c r="H637" s="7">
        <v>45946</v>
      </c>
      <c r="I637" t="s">
        <v>209</v>
      </c>
    </row>
    <row r="638" spans="1:9">
      <c r="A638">
        <v>50637</v>
      </c>
      <c r="B638">
        <v>3052</v>
      </c>
      <c r="C638">
        <v>2008</v>
      </c>
      <c r="D638" s="7">
        <v>45962</v>
      </c>
      <c r="E638" t="s">
        <v>219</v>
      </c>
      <c r="F638" t="s">
        <v>202</v>
      </c>
      <c r="G638">
        <v>10</v>
      </c>
      <c r="H638" s="7">
        <v>45983</v>
      </c>
      <c r="I638" t="s">
        <v>207</v>
      </c>
    </row>
    <row r="639" spans="1:9">
      <c r="A639">
        <v>50638</v>
      </c>
      <c r="B639">
        <v>3052</v>
      </c>
      <c r="C639">
        <v>2008</v>
      </c>
      <c r="D639" s="7">
        <v>46053</v>
      </c>
      <c r="E639" t="s">
        <v>219</v>
      </c>
      <c r="F639" t="s">
        <v>205</v>
      </c>
      <c r="H639" s="7"/>
      <c r="I639" t="s">
        <v>216</v>
      </c>
    </row>
    <row r="640" spans="1:9">
      <c r="A640">
        <v>50639</v>
      </c>
      <c r="B640">
        <v>3052</v>
      </c>
      <c r="C640">
        <v>2008</v>
      </c>
      <c r="D640" s="7">
        <v>46121</v>
      </c>
      <c r="E640" t="s">
        <v>219</v>
      </c>
      <c r="F640" t="s">
        <v>202</v>
      </c>
      <c r="G640">
        <v>90</v>
      </c>
      <c r="H640" s="7">
        <v>46135</v>
      </c>
      <c r="I640" t="s">
        <v>209</v>
      </c>
    </row>
    <row r="641" spans="1:9">
      <c r="A641">
        <v>50640</v>
      </c>
      <c r="B641">
        <v>3053</v>
      </c>
      <c r="C641">
        <v>2007</v>
      </c>
      <c r="D641" s="7">
        <v>45363</v>
      </c>
      <c r="E641" t="s">
        <v>212</v>
      </c>
      <c r="F641" t="s">
        <v>202</v>
      </c>
      <c r="G641">
        <v>10</v>
      </c>
      <c r="H641" s="7">
        <v>45384</v>
      </c>
      <c r="I641" t="s">
        <v>207</v>
      </c>
    </row>
    <row r="642" spans="1:9">
      <c r="A642">
        <v>50641</v>
      </c>
      <c r="B642">
        <v>3053</v>
      </c>
      <c r="C642">
        <v>2007</v>
      </c>
      <c r="D642" s="7">
        <v>45520</v>
      </c>
      <c r="E642" t="s">
        <v>204</v>
      </c>
      <c r="F642" t="s">
        <v>213</v>
      </c>
      <c r="H642" s="7">
        <v>45523</v>
      </c>
      <c r="I642" t="s">
        <v>217</v>
      </c>
    </row>
    <row r="643" spans="1:9">
      <c r="A643">
        <v>50642</v>
      </c>
      <c r="B643">
        <v>3053</v>
      </c>
      <c r="C643">
        <v>2007</v>
      </c>
      <c r="D643" s="7">
        <v>45683</v>
      </c>
      <c r="E643" t="s">
        <v>204</v>
      </c>
      <c r="F643" t="s">
        <v>202</v>
      </c>
      <c r="G643">
        <v>45</v>
      </c>
      <c r="H643" s="7">
        <v>45704</v>
      </c>
      <c r="I643" t="s">
        <v>216</v>
      </c>
    </row>
    <row r="644" spans="1:9">
      <c r="A644">
        <v>50643</v>
      </c>
      <c r="B644">
        <v>3053</v>
      </c>
      <c r="C644">
        <v>2007</v>
      </c>
      <c r="D644" s="7">
        <v>45763</v>
      </c>
      <c r="E644" t="s">
        <v>219</v>
      </c>
      <c r="F644" t="s">
        <v>202</v>
      </c>
      <c r="G644">
        <v>60</v>
      </c>
      <c r="H644" s="7">
        <v>45793</v>
      </c>
      <c r="I644" t="s">
        <v>207</v>
      </c>
    </row>
    <row r="645" spans="1:9">
      <c r="A645">
        <v>50644</v>
      </c>
      <c r="B645">
        <v>3053</v>
      </c>
      <c r="C645">
        <v>2007</v>
      </c>
      <c r="D645" s="7">
        <v>45778</v>
      </c>
      <c r="E645" t="s">
        <v>212</v>
      </c>
      <c r="F645" t="s">
        <v>218</v>
      </c>
      <c r="H645" s="7"/>
      <c r="I645" t="s">
        <v>206</v>
      </c>
    </row>
    <row r="646" spans="1:9">
      <c r="A646">
        <v>50645</v>
      </c>
      <c r="B646">
        <v>3053</v>
      </c>
      <c r="C646">
        <v>2007</v>
      </c>
      <c r="D646" s="7">
        <v>45872</v>
      </c>
      <c r="E646" t="s">
        <v>219</v>
      </c>
      <c r="F646" t="s">
        <v>215</v>
      </c>
      <c r="G646">
        <v>60</v>
      </c>
      <c r="H646" s="7">
        <v>45893</v>
      </c>
      <c r="I646" t="s">
        <v>211</v>
      </c>
    </row>
    <row r="647" spans="1:9">
      <c r="A647">
        <v>50646</v>
      </c>
      <c r="B647">
        <v>3053</v>
      </c>
      <c r="C647">
        <v>2007</v>
      </c>
      <c r="D647" s="7">
        <v>45952</v>
      </c>
      <c r="E647" t="s">
        <v>219</v>
      </c>
      <c r="F647" t="s">
        <v>218</v>
      </c>
      <c r="H647" s="7"/>
      <c r="I647" t="s">
        <v>217</v>
      </c>
    </row>
    <row r="648" spans="1:9">
      <c r="A648">
        <v>50647</v>
      </c>
      <c r="B648">
        <v>3053</v>
      </c>
      <c r="C648">
        <v>2007</v>
      </c>
      <c r="D648" s="7">
        <v>46199</v>
      </c>
      <c r="E648" t="s">
        <v>219</v>
      </c>
      <c r="F648" t="s">
        <v>214</v>
      </c>
      <c r="H648" s="7">
        <v>46206</v>
      </c>
      <c r="I648" t="s">
        <v>211</v>
      </c>
    </row>
    <row r="649" spans="1:9">
      <c r="A649">
        <v>50648</v>
      </c>
      <c r="B649">
        <v>3053</v>
      </c>
      <c r="C649">
        <v>2007</v>
      </c>
      <c r="D649" s="7">
        <v>46211</v>
      </c>
      <c r="E649" t="s">
        <v>219</v>
      </c>
      <c r="F649" t="s">
        <v>214</v>
      </c>
      <c r="H649" s="7"/>
      <c r="I649" t="s">
        <v>203</v>
      </c>
    </row>
    <row r="650" spans="1:9">
      <c r="A650">
        <v>50649</v>
      </c>
      <c r="B650">
        <v>3054</v>
      </c>
      <c r="C650">
        <v>2009</v>
      </c>
      <c r="D650" s="7">
        <v>45453</v>
      </c>
      <c r="E650" t="s">
        <v>212</v>
      </c>
      <c r="F650" t="s">
        <v>213</v>
      </c>
      <c r="H650" s="7">
        <v>45467</v>
      </c>
      <c r="I650" t="s">
        <v>216</v>
      </c>
    </row>
    <row r="651" spans="1:9">
      <c r="A651">
        <v>50650</v>
      </c>
      <c r="B651">
        <v>3054</v>
      </c>
      <c r="C651">
        <v>2009</v>
      </c>
      <c r="D651" s="7">
        <v>45492</v>
      </c>
      <c r="E651" t="s">
        <v>204</v>
      </c>
      <c r="F651" t="s">
        <v>202</v>
      </c>
      <c r="G651">
        <v>15</v>
      </c>
      <c r="H651" s="7">
        <v>45513</v>
      </c>
      <c r="I651" t="s">
        <v>217</v>
      </c>
    </row>
    <row r="652" spans="1:9">
      <c r="A652">
        <v>50651</v>
      </c>
      <c r="B652">
        <v>3054</v>
      </c>
      <c r="C652">
        <v>2009</v>
      </c>
      <c r="D652" s="7">
        <v>45530</v>
      </c>
      <c r="E652" t="s">
        <v>212</v>
      </c>
      <c r="F652" t="s">
        <v>202</v>
      </c>
      <c r="G652">
        <v>10</v>
      </c>
      <c r="H652" s="7">
        <v>45551</v>
      </c>
      <c r="I652" t="s">
        <v>216</v>
      </c>
    </row>
    <row r="653" spans="1:9">
      <c r="A653">
        <v>50652</v>
      </c>
      <c r="B653">
        <v>3054</v>
      </c>
      <c r="C653">
        <v>2009</v>
      </c>
      <c r="D653" s="7">
        <v>45548</v>
      </c>
      <c r="E653" t="s">
        <v>212</v>
      </c>
      <c r="F653" t="s">
        <v>214</v>
      </c>
      <c r="H653" s="7">
        <v>45555</v>
      </c>
      <c r="I653" t="s">
        <v>211</v>
      </c>
    </row>
    <row r="654" spans="1:9">
      <c r="A654">
        <v>50653</v>
      </c>
      <c r="B654">
        <v>3054</v>
      </c>
      <c r="C654">
        <v>2009</v>
      </c>
      <c r="D654" s="7">
        <v>45548</v>
      </c>
      <c r="E654" t="s">
        <v>212</v>
      </c>
      <c r="F654" t="s">
        <v>202</v>
      </c>
      <c r="G654">
        <v>10</v>
      </c>
      <c r="H654" s="7">
        <v>45562</v>
      </c>
      <c r="I654" t="s">
        <v>209</v>
      </c>
    </row>
    <row r="655" spans="1:9">
      <c r="A655">
        <v>50654</v>
      </c>
      <c r="B655">
        <v>3054</v>
      </c>
      <c r="C655">
        <v>2009</v>
      </c>
      <c r="D655" s="7">
        <v>45553</v>
      </c>
      <c r="E655" t="s">
        <v>212</v>
      </c>
      <c r="F655" t="s">
        <v>202</v>
      </c>
      <c r="G655">
        <v>15</v>
      </c>
      <c r="H655" s="7">
        <v>45560</v>
      </c>
      <c r="I655" t="s">
        <v>206</v>
      </c>
    </row>
    <row r="656" spans="1:9">
      <c r="A656">
        <v>50655</v>
      </c>
      <c r="B656">
        <v>3054</v>
      </c>
      <c r="C656">
        <v>2009</v>
      </c>
      <c r="D656" s="7">
        <v>45554</v>
      </c>
      <c r="E656" t="s">
        <v>201</v>
      </c>
      <c r="F656" t="s">
        <v>205</v>
      </c>
      <c r="H656" s="7"/>
      <c r="I656" t="s">
        <v>211</v>
      </c>
    </row>
    <row r="657" spans="1:9">
      <c r="A657">
        <v>50656</v>
      </c>
      <c r="B657">
        <v>3054</v>
      </c>
      <c r="C657">
        <v>2009</v>
      </c>
      <c r="D657" s="7">
        <v>45580</v>
      </c>
      <c r="E657" t="s">
        <v>212</v>
      </c>
      <c r="F657" t="s">
        <v>205</v>
      </c>
      <c r="H657" s="7"/>
      <c r="I657" t="s">
        <v>217</v>
      </c>
    </row>
    <row r="658" spans="1:9">
      <c r="A658">
        <v>50657</v>
      </c>
      <c r="B658">
        <v>3054</v>
      </c>
      <c r="C658">
        <v>2009</v>
      </c>
      <c r="D658" s="7">
        <v>45580</v>
      </c>
      <c r="E658" t="s">
        <v>204</v>
      </c>
      <c r="F658" t="s">
        <v>202</v>
      </c>
      <c r="G658">
        <v>20</v>
      </c>
      <c r="H658" s="7">
        <v>45601</v>
      </c>
      <c r="I658" t="s">
        <v>209</v>
      </c>
    </row>
    <row r="659" spans="1:9">
      <c r="A659">
        <v>50658</v>
      </c>
      <c r="B659">
        <v>3054</v>
      </c>
      <c r="C659">
        <v>2009</v>
      </c>
      <c r="D659" s="7">
        <v>45596</v>
      </c>
      <c r="E659" t="s">
        <v>201</v>
      </c>
      <c r="F659" t="s">
        <v>213</v>
      </c>
      <c r="H659" s="7">
        <v>45599</v>
      </c>
      <c r="I659" t="s">
        <v>216</v>
      </c>
    </row>
    <row r="660" spans="1:9">
      <c r="A660">
        <v>50659</v>
      </c>
      <c r="B660">
        <v>3054</v>
      </c>
      <c r="C660">
        <v>2009</v>
      </c>
      <c r="D660" s="7">
        <v>45601</v>
      </c>
      <c r="E660" t="s">
        <v>212</v>
      </c>
      <c r="F660" t="s">
        <v>213</v>
      </c>
      <c r="H660" s="7">
        <v>45608</v>
      </c>
      <c r="I660" t="s">
        <v>216</v>
      </c>
    </row>
    <row r="661" spans="1:9">
      <c r="A661">
        <v>50660</v>
      </c>
      <c r="B661">
        <v>3054</v>
      </c>
      <c r="C661">
        <v>2009</v>
      </c>
      <c r="D661" s="7">
        <v>45622</v>
      </c>
      <c r="E661" t="s">
        <v>212</v>
      </c>
      <c r="F661" t="s">
        <v>202</v>
      </c>
      <c r="G661">
        <v>30</v>
      </c>
      <c r="H661" s="7">
        <v>45636</v>
      </c>
      <c r="I661" t="s">
        <v>206</v>
      </c>
    </row>
    <row r="662" spans="1:9">
      <c r="A662">
        <v>50661</v>
      </c>
      <c r="B662">
        <v>3054</v>
      </c>
      <c r="C662">
        <v>2009</v>
      </c>
      <c r="D662" s="7">
        <v>45653</v>
      </c>
      <c r="E662" t="s">
        <v>204</v>
      </c>
      <c r="F662" t="s">
        <v>205</v>
      </c>
      <c r="H662" s="7"/>
      <c r="I662" t="s">
        <v>209</v>
      </c>
    </row>
    <row r="663" spans="1:9">
      <c r="A663">
        <v>50662</v>
      </c>
      <c r="B663">
        <v>3054</v>
      </c>
      <c r="C663">
        <v>2009</v>
      </c>
      <c r="D663" s="7">
        <v>45665</v>
      </c>
      <c r="E663" t="s">
        <v>204</v>
      </c>
      <c r="F663" t="s">
        <v>202</v>
      </c>
      <c r="G663">
        <v>90</v>
      </c>
      <c r="H663" s="7">
        <v>45679</v>
      </c>
      <c r="I663" t="s">
        <v>211</v>
      </c>
    </row>
    <row r="664" spans="1:9">
      <c r="A664">
        <v>50663</v>
      </c>
      <c r="B664">
        <v>3054</v>
      </c>
      <c r="C664">
        <v>2009</v>
      </c>
      <c r="D664" s="7">
        <v>45690</v>
      </c>
      <c r="E664" t="s">
        <v>212</v>
      </c>
      <c r="F664" t="s">
        <v>202</v>
      </c>
      <c r="G664">
        <v>15</v>
      </c>
      <c r="H664" s="7">
        <v>45704</v>
      </c>
      <c r="I664" t="s">
        <v>207</v>
      </c>
    </row>
    <row r="665" spans="1:9">
      <c r="A665">
        <v>50664</v>
      </c>
      <c r="B665">
        <v>3054</v>
      </c>
      <c r="C665">
        <v>2009</v>
      </c>
      <c r="D665" s="7">
        <v>45710</v>
      </c>
      <c r="E665" t="s">
        <v>201</v>
      </c>
      <c r="F665" t="s">
        <v>205</v>
      </c>
      <c r="H665" s="7"/>
      <c r="I665" t="s">
        <v>211</v>
      </c>
    </row>
    <row r="666" spans="1:9">
      <c r="A666">
        <v>50665</v>
      </c>
      <c r="B666">
        <v>3054</v>
      </c>
      <c r="C666">
        <v>2009</v>
      </c>
      <c r="D666" s="7">
        <v>45729</v>
      </c>
      <c r="E666" t="s">
        <v>210</v>
      </c>
      <c r="F666" t="s">
        <v>214</v>
      </c>
      <c r="H666" s="7">
        <v>45750</v>
      </c>
      <c r="I666" t="s">
        <v>217</v>
      </c>
    </row>
    <row r="667" spans="1:9">
      <c r="A667">
        <v>50666</v>
      </c>
      <c r="B667">
        <v>3054</v>
      </c>
      <c r="C667">
        <v>2009</v>
      </c>
      <c r="D667" s="7">
        <v>45738</v>
      </c>
      <c r="E667" t="s">
        <v>204</v>
      </c>
      <c r="F667" t="s">
        <v>202</v>
      </c>
      <c r="G667">
        <v>20</v>
      </c>
      <c r="H667" s="7">
        <v>45759</v>
      </c>
      <c r="I667" t="s">
        <v>207</v>
      </c>
    </row>
    <row r="668" spans="1:9">
      <c r="A668">
        <v>50667</v>
      </c>
      <c r="B668">
        <v>3055</v>
      </c>
      <c r="C668">
        <v>2003</v>
      </c>
      <c r="D668" s="7">
        <v>45527</v>
      </c>
      <c r="E668" t="s">
        <v>212</v>
      </c>
      <c r="F668" t="s">
        <v>202</v>
      </c>
      <c r="G668">
        <v>20</v>
      </c>
      <c r="H668" s="7">
        <v>45534</v>
      </c>
      <c r="I668" t="s">
        <v>207</v>
      </c>
    </row>
    <row r="669" spans="1:9">
      <c r="A669">
        <v>50668</v>
      </c>
      <c r="B669">
        <v>3055</v>
      </c>
      <c r="C669">
        <v>2003</v>
      </c>
      <c r="D669" s="7">
        <v>45557</v>
      </c>
      <c r="E669" t="s">
        <v>210</v>
      </c>
      <c r="F669" t="s">
        <v>202</v>
      </c>
      <c r="G669">
        <v>15</v>
      </c>
      <c r="H669" s="7">
        <v>45560</v>
      </c>
      <c r="I669" t="s">
        <v>217</v>
      </c>
    </row>
    <row r="670" spans="1:9">
      <c r="A670">
        <v>50669</v>
      </c>
      <c r="B670">
        <v>3055</v>
      </c>
      <c r="C670">
        <v>2003</v>
      </c>
      <c r="D670" s="7">
        <v>45616</v>
      </c>
      <c r="E670" t="s">
        <v>219</v>
      </c>
      <c r="F670" t="s">
        <v>215</v>
      </c>
      <c r="G670">
        <v>45</v>
      </c>
      <c r="H670" s="7">
        <v>45623</v>
      </c>
      <c r="I670" t="s">
        <v>216</v>
      </c>
    </row>
    <row r="671" spans="1:9">
      <c r="A671">
        <v>50670</v>
      </c>
      <c r="B671">
        <v>3055</v>
      </c>
      <c r="C671">
        <v>2003</v>
      </c>
      <c r="D671" s="7">
        <v>45704</v>
      </c>
      <c r="E671" t="s">
        <v>212</v>
      </c>
      <c r="F671" t="s">
        <v>202</v>
      </c>
      <c r="G671">
        <v>60</v>
      </c>
      <c r="H671" s="7">
        <v>45711</v>
      </c>
      <c r="I671" t="s">
        <v>206</v>
      </c>
    </row>
    <row r="672" spans="1:9">
      <c r="A672">
        <v>50671</v>
      </c>
      <c r="B672">
        <v>3055</v>
      </c>
      <c r="C672">
        <v>2003</v>
      </c>
      <c r="D672" s="7">
        <v>45827</v>
      </c>
      <c r="E672" t="s">
        <v>204</v>
      </c>
      <c r="F672" t="s">
        <v>213</v>
      </c>
      <c r="H672" s="7">
        <v>45841</v>
      </c>
      <c r="I672" t="s">
        <v>203</v>
      </c>
    </row>
    <row r="673" spans="1:9">
      <c r="A673">
        <v>50672</v>
      </c>
      <c r="B673">
        <v>3055</v>
      </c>
      <c r="C673">
        <v>2003</v>
      </c>
      <c r="D673" s="7">
        <v>46114</v>
      </c>
      <c r="E673" t="s">
        <v>201</v>
      </c>
      <c r="F673" t="s">
        <v>202</v>
      </c>
      <c r="G673">
        <v>60</v>
      </c>
      <c r="H673" s="7">
        <v>46144</v>
      </c>
      <c r="I673" t="s">
        <v>206</v>
      </c>
    </row>
    <row r="674" spans="1:9">
      <c r="A674">
        <v>50673</v>
      </c>
      <c r="B674">
        <v>3055</v>
      </c>
      <c r="C674">
        <v>2003</v>
      </c>
      <c r="D674" s="7">
        <v>46211</v>
      </c>
      <c r="E674" t="s">
        <v>210</v>
      </c>
      <c r="F674" t="s">
        <v>214</v>
      </c>
      <c r="H674" s="7"/>
      <c r="I674" t="s">
        <v>217</v>
      </c>
    </row>
    <row r="675" spans="1:9">
      <c r="A675">
        <v>50674</v>
      </c>
      <c r="B675">
        <v>3056</v>
      </c>
      <c r="C675">
        <v>2003</v>
      </c>
      <c r="D675" s="7">
        <v>45773</v>
      </c>
      <c r="E675" t="s">
        <v>204</v>
      </c>
      <c r="F675" t="s">
        <v>202</v>
      </c>
      <c r="G675">
        <v>10</v>
      </c>
      <c r="H675" s="7">
        <v>45803</v>
      </c>
      <c r="I675" t="s">
        <v>207</v>
      </c>
    </row>
    <row r="676" spans="1:9">
      <c r="A676">
        <v>50675</v>
      </c>
      <c r="B676">
        <v>3056</v>
      </c>
      <c r="C676">
        <v>2003</v>
      </c>
      <c r="D676" s="7">
        <v>45779</v>
      </c>
      <c r="E676" t="s">
        <v>204</v>
      </c>
      <c r="F676" t="s">
        <v>218</v>
      </c>
      <c r="H676" s="7"/>
      <c r="I676" t="s">
        <v>207</v>
      </c>
    </row>
    <row r="677" spans="1:9">
      <c r="A677">
        <v>50676</v>
      </c>
      <c r="B677">
        <v>3056</v>
      </c>
      <c r="C677">
        <v>2003</v>
      </c>
      <c r="D677" s="7">
        <v>45804</v>
      </c>
      <c r="E677" t="s">
        <v>204</v>
      </c>
      <c r="F677" t="s">
        <v>202</v>
      </c>
      <c r="G677">
        <v>10</v>
      </c>
      <c r="H677" s="7">
        <v>45807</v>
      </c>
      <c r="I677" t="s">
        <v>207</v>
      </c>
    </row>
    <row r="678" spans="1:9">
      <c r="A678">
        <v>50677</v>
      </c>
      <c r="B678">
        <v>3056</v>
      </c>
      <c r="C678">
        <v>2003</v>
      </c>
      <c r="D678" s="7">
        <v>45814</v>
      </c>
      <c r="E678" t="s">
        <v>212</v>
      </c>
      <c r="F678" t="s">
        <v>214</v>
      </c>
      <c r="H678" s="7">
        <v>45817</v>
      </c>
      <c r="I678" t="s">
        <v>206</v>
      </c>
    </row>
    <row r="679" spans="1:9">
      <c r="A679">
        <v>50678</v>
      </c>
      <c r="B679">
        <v>3056</v>
      </c>
      <c r="C679">
        <v>2003</v>
      </c>
      <c r="D679" s="7">
        <v>45827</v>
      </c>
      <c r="E679" t="s">
        <v>219</v>
      </c>
      <c r="F679" t="s">
        <v>202</v>
      </c>
      <c r="G679">
        <v>15</v>
      </c>
      <c r="H679" s="7">
        <v>45857</v>
      </c>
      <c r="I679" t="s">
        <v>211</v>
      </c>
    </row>
    <row r="680" spans="1:9">
      <c r="A680">
        <v>50679</v>
      </c>
      <c r="B680">
        <v>3056</v>
      </c>
      <c r="C680">
        <v>2003</v>
      </c>
      <c r="D680" s="7">
        <v>45848</v>
      </c>
      <c r="E680" t="s">
        <v>212</v>
      </c>
      <c r="F680" t="s">
        <v>205</v>
      </c>
      <c r="H680" s="7"/>
      <c r="I680" t="s">
        <v>211</v>
      </c>
    </row>
    <row r="681" spans="1:9">
      <c r="A681">
        <v>50680</v>
      </c>
      <c r="B681">
        <v>3056</v>
      </c>
      <c r="C681">
        <v>2003</v>
      </c>
      <c r="D681" s="7">
        <v>45851</v>
      </c>
      <c r="E681" t="s">
        <v>204</v>
      </c>
      <c r="F681" t="s">
        <v>202</v>
      </c>
      <c r="G681">
        <v>15</v>
      </c>
      <c r="H681" s="7">
        <v>45854</v>
      </c>
      <c r="I681" t="s">
        <v>206</v>
      </c>
    </row>
    <row r="682" spans="1:9">
      <c r="A682">
        <v>50681</v>
      </c>
      <c r="B682">
        <v>3056</v>
      </c>
      <c r="C682">
        <v>2003</v>
      </c>
      <c r="D682" s="7">
        <v>45878</v>
      </c>
      <c r="E682" t="s">
        <v>212</v>
      </c>
      <c r="F682" t="s">
        <v>202</v>
      </c>
      <c r="G682">
        <v>60</v>
      </c>
      <c r="H682" s="7">
        <v>45881</v>
      </c>
      <c r="I682" t="s">
        <v>217</v>
      </c>
    </row>
    <row r="683" spans="1:9">
      <c r="A683">
        <v>50682</v>
      </c>
      <c r="B683">
        <v>3056</v>
      </c>
      <c r="C683">
        <v>2003</v>
      </c>
      <c r="D683" s="7">
        <v>45943</v>
      </c>
      <c r="E683" t="s">
        <v>219</v>
      </c>
      <c r="F683" t="s">
        <v>202</v>
      </c>
      <c r="G683">
        <v>15</v>
      </c>
      <c r="H683" s="7">
        <v>45950</v>
      </c>
      <c r="I683" t="s">
        <v>203</v>
      </c>
    </row>
    <row r="684" spans="1:9">
      <c r="A684">
        <v>50683</v>
      </c>
      <c r="B684">
        <v>3056</v>
      </c>
      <c r="C684">
        <v>2003</v>
      </c>
      <c r="D684" s="7">
        <v>45950</v>
      </c>
      <c r="E684" t="s">
        <v>201</v>
      </c>
      <c r="F684" t="s">
        <v>215</v>
      </c>
      <c r="G684">
        <v>30</v>
      </c>
      <c r="H684" s="7">
        <v>45971</v>
      </c>
      <c r="I684" t="s">
        <v>211</v>
      </c>
    </row>
    <row r="685" spans="1:9">
      <c r="A685">
        <v>50684</v>
      </c>
      <c r="B685">
        <v>3056</v>
      </c>
      <c r="C685">
        <v>2003</v>
      </c>
      <c r="D685" s="7">
        <v>46028</v>
      </c>
      <c r="E685" t="s">
        <v>210</v>
      </c>
      <c r="F685" t="s">
        <v>205</v>
      </c>
      <c r="H685" s="7"/>
      <c r="I685" t="s">
        <v>206</v>
      </c>
    </row>
    <row r="686" spans="1:9">
      <c r="A686">
        <v>50685</v>
      </c>
      <c r="B686">
        <v>3056</v>
      </c>
      <c r="C686">
        <v>2003</v>
      </c>
      <c r="D686" s="7">
        <v>46054</v>
      </c>
      <c r="E686" t="s">
        <v>219</v>
      </c>
      <c r="F686" t="s">
        <v>205</v>
      </c>
      <c r="H686" s="7"/>
      <c r="I686" t="s">
        <v>203</v>
      </c>
    </row>
    <row r="687" spans="1:9">
      <c r="A687">
        <v>50686</v>
      </c>
      <c r="B687">
        <v>3056</v>
      </c>
      <c r="C687">
        <v>2003</v>
      </c>
      <c r="D687" s="7">
        <v>46072</v>
      </c>
      <c r="E687" t="s">
        <v>210</v>
      </c>
      <c r="F687" t="s">
        <v>214</v>
      </c>
      <c r="H687" s="7">
        <v>46086</v>
      </c>
      <c r="I687" t="s">
        <v>209</v>
      </c>
    </row>
    <row r="688" spans="1:9">
      <c r="A688">
        <v>50687</v>
      </c>
      <c r="B688">
        <v>3056</v>
      </c>
      <c r="C688">
        <v>2003</v>
      </c>
      <c r="D688" s="7">
        <v>46089</v>
      </c>
      <c r="E688" t="s">
        <v>219</v>
      </c>
      <c r="F688" t="s">
        <v>202</v>
      </c>
      <c r="G688">
        <v>30</v>
      </c>
      <c r="H688" s="7">
        <v>46096</v>
      </c>
      <c r="I688" t="s">
        <v>216</v>
      </c>
    </row>
    <row r="689" spans="1:9">
      <c r="A689">
        <v>50688</v>
      </c>
      <c r="B689">
        <v>3056</v>
      </c>
      <c r="C689">
        <v>2003</v>
      </c>
      <c r="D689" s="7">
        <v>46102</v>
      </c>
      <c r="E689" t="s">
        <v>204</v>
      </c>
      <c r="F689" t="s">
        <v>213</v>
      </c>
      <c r="H689" s="7">
        <v>46132</v>
      </c>
      <c r="I689" t="s">
        <v>209</v>
      </c>
    </row>
    <row r="690" spans="1:9">
      <c r="A690">
        <v>50689</v>
      </c>
      <c r="B690">
        <v>3056</v>
      </c>
      <c r="C690">
        <v>2003</v>
      </c>
      <c r="D690" s="7">
        <v>46117</v>
      </c>
      <c r="E690" t="s">
        <v>210</v>
      </c>
      <c r="F690" t="s">
        <v>205</v>
      </c>
      <c r="H690" s="7"/>
      <c r="I690" t="s">
        <v>217</v>
      </c>
    </row>
    <row r="691" spans="1:9">
      <c r="A691">
        <v>50690</v>
      </c>
      <c r="B691">
        <v>3056</v>
      </c>
      <c r="C691">
        <v>2003</v>
      </c>
      <c r="D691" s="7">
        <v>46158</v>
      </c>
      <c r="E691" t="s">
        <v>212</v>
      </c>
      <c r="F691" t="s">
        <v>202</v>
      </c>
      <c r="G691">
        <v>30</v>
      </c>
      <c r="H691" s="7">
        <v>46165</v>
      </c>
      <c r="I691" t="s">
        <v>206</v>
      </c>
    </row>
    <row r="692" spans="1:9">
      <c r="A692">
        <v>50691</v>
      </c>
      <c r="B692">
        <v>3056</v>
      </c>
      <c r="C692">
        <v>2003</v>
      </c>
      <c r="D692" s="7">
        <v>46185</v>
      </c>
      <c r="E692" t="s">
        <v>208</v>
      </c>
      <c r="F692" t="s">
        <v>202</v>
      </c>
      <c r="G692">
        <v>15</v>
      </c>
      <c r="H692" s="7">
        <v>46199</v>
      </c>
      <c r="I692" t="s">
        <v>203</v>
      </c>
    </row>
    <row r="693" spans="1:9">
      <c r="A693">
        <v>50692</v>
      </c>
      <c r="B693">
        <v>3057</v>
      </c>
      <c r="C693">
        <v>2018</v>
      </c>
      <c r="D693" s="7">
        <v>45416</v>
      </c>
      <c r="E693" t="s">
        <v>210</v>
      </c>
      <c r="F693" t="s">
        <v>214</v>
      </c>
      <c r="H693" s="7">
        <v>45419</v>
      </c>
      <c r="I693" t="s">
        <v>203</v>
      </c>
    </row>
    <row r="694" spans="1:9">
      <c r="A694">
        <v>50693</v>
      </c>
      <c r="B694">
        <v>3057</v>
      </c>
      <c r="C694">
        <v>2018</v>
      </c>
      <c r="D694" s="7">
        <v>45427</v>
      </c>
      <c r="E694" t="s">
        <v>219</v>
      </c>
      <c r="F694" t="s">
        <v>214</v>
      </c>
      <c r="H694" s="7">
        <v>45448</v>
      </c>
      <c r="I694" t="s">
        <v>206</v>
      </c>
    </row>
    <row r="695" spans="1:9">
      <c r="A695">
        <v>50694</v>
      </c>
      <c r="B695">
        <v>3057</v>
      </c>
      <c r="C695">
        <v>2018</v>
      </c>
      <c r="D695" s="7">
        <v>45462</v>
      </c>
      <c r="E695" t="s">
        <v>219</v>
      </c>
      <c r="F695" t="s">
        <v>202</v>
      </c>
      <c r="G695">
        <v>90</v>
      </c>
      <c r="H695" s="7">
        <v>45492</v>
      </c>
      <c r="I695" t="s">
        <v>207</v>
      </c>
    </row>
    <row r="696" spans="1:9">
      <c r="A696">
        <v>50695</v>
      </c>
      <c r="B696">
        <v>3057</v>
      </c>
      <c r="C696">
        <v>2018</v>
      </c>
      <c r="D696" s="7">
        <v>45473</v>
      </c>
      <c r="E696" t="s">
        <v>219</v>
      </c>
      <c r="F696" t="s">
        <v>218</v>
      </c>
      <c r="H696" s="7"/>
      <c r="I696" t="s">
        <v>207</v>
      </c>
    </row>
    <row r="697" spans="1:9">
      <c r="A697">
        <v>50696</v>
      </c>
      <c r="B697">
        <v>3057</v>
      </c>
      <c r="C697">
        <v>2018</v>
      </c>
      <c r="D697" s="7">
        <v>45490</v>
      </c>
      <c r="E697" t="s">
        <v>212</v>
      </c>
      <c r="F697" t="s">
        <v>218</v>
      </c>
      <c r="H697" s="7"/>
      <c r="I697" t="s">
        <v>209</v>
      </c>
    </row>
    <row r="698" spans="1:9">
      <c r="A698">
        <v>50697</v>
      </c>
      <c r="B698">
        <v>3057</v>
      </c>
      <c r="C698">
        <v>2018</v>
      </c>
      <c r="D698" s="7">
        <v>45574</v>
      </c>
      <c r="E698" t="s">
        <v>201</v>
      </c>
      <c r="F698" t="s">
        <v>202</v>
      </c>
      <c r="G698">
        <v>60</v>
      </c>
      <c r="H698" s="7">
        <v>45577</v>
      </c>
      <c r="I698" t="s">
        <v>206</v>
      </c>
    </row>
    <row r="699" spans="1:9">
      <c r="A699">
        <v>50698</v>
      </c>
      <c r="B699">
        <v>3057</v>
      </c>
      <c r="C699">
        <v>2018</v>
      </c>
      <c r="D699" s="7">
        <v>45592</v>
      </c>
      <c r="E699" t="s">
        <v>212</v>
      </c>
      <c r="F699" t="s">
        <v>202</v>
      </c>
      <c r="G699">
        <v>45</v>
      </c>
      <c r="H699" s="7">
        <v>45622</v>
      </c>
      <c r="I699" t="s">
        <v>211</v>
      </c>
    </row>
    <row r="700" spans="1:9">
      <c r="A700">
        <v>50699</v>
      </c>
      <c r="B700">
        <v>3057</v>
      </c>
      <c r="C700">
        <v>2018</v>
      </c>
      <c r="D700" s="7">
        <v>45613</v>
      </c>
      <c r="E700" t="s">
        <v>219</v>
      </c>
      <c r="F700" t="s">
        <v>214</v>
      </c>
      <c r="H700" s="7">
        <v>45627</v>
      </c>
      <c r="I700" t="s">
        <v>203</v>
      </c>
    </row>
    <row r="701" spans="1:9">
      <c r="A701">
        <v>50700</v>
      </c>
      <c r="B701">
        <v>3057</v>
      </c>
      <c r="C701">
        <v>2018</v>
      </c>
      <c r="D701" s="7">
        <v>45813</v>
      </c>
      <c r="E701" t="s">
        <v>212</v>
      </c>
      <c r="F701" t="s">
        <v>202</v>
      </c>
      <c r="G701">
        <v>30</v>
      </c>
      <c r="H701" s="7">
        <v>45827</v>
      </c>
      <c r="I701" t="s">
        <v>206</v>
      </c>
    </row>
    <row r="702" spans="1:9">
      <c r="A702">
        <v>50701</v>
      </c>
      <c r="B702">
        <v>3057</v>
      </c>
      <c r="C702">
        <v>2018</v>
      </c>
      <c r="D702" s="7">
        <v>45824</v>
      </c>
      <c r="E702" t="s">
        <v>212</v>
      </c>
      <c r="F702" t="s">
        <v>202</v>
      </c>
      <c r="G702">
        <v>10</v>
      </c>
      <c r="H702" s="7">
        <v>45831</v>
      </c>
      <c r="I702" t="s">
        <v>206</v>
      </c>
    </row>
    <row r="703" spans="1:9">
      <c r="A703">
        <v>50702</v>
      </c>
      <c r="B703">
        <v>3057</v>
      </c>
      <c r="C703">
        <v>2018</v>
      </c>
      <c r="D703" s="7">
        <v>45842</v>
      </c>
      <c r="E703" t="s">
        <v>210</v>
      </c>
      <c r="F703" t="s">
        <v>214</v>
      </c>
      <c r="H703" s="7">
        <v>45856</v>
      </c>
      <c r="I703" t="s">
        <v>217</v>
      </c>
    </row>
    <row r="704" spans="1:9">
      <c r="A704">
        <v>50703</v>
      </c>
      <c r="B704">
        <v>3057</v>
      </c>
      <c r="C704">
        <v>2018</v>
      </c>
      <c r="D704" s="7">
        <v>45908</v>
      </c>
      <c r="E704" t="s">
        <v>208</v>
      </c>
      <c r="F704" t="s">
        <v>202</v>
      </c>
      <c r="G704">
        <v>45</v>
      </c>
      <c r="H704" s="7">
        <v>45915</v>
      </c>
      <c r="I704" t="s">
        <v>203</v>
      </c>
    </row>
    <row r="705" spans="1:9">
      <c r="A705">
        <v>50704</v>
      </c>
      <c r="B705">
        <v>3057</v>
      </c>
      <c r="C705">
        <v>2018</v>
      </c>
      <c r="D705" s="7">
        <v>45945</v>
      </c>
      <c r="E705" t="s">
        <v>212</v>
      </c>
      <c r="F705" t="s">
        <v>202</v>
      </c>
      <c r="G705">
        <v>30</v>
      </c>
      <c r="H705" s="7">
        <v>45948</v>
      </c>
      <c r="I705" t="s">
        <v>203</v>
      </c>
    </row>
    <row r="706" spans="1:9">
      <c r="A706">
        <v>50705</v>
      </c>
      <c r="B706">
        <v>3057</v>
      </c>
      <c r="C706">
        <v>2018</v>
      </c>
      <c r="D706" s="7">
        <v>46062</v>
      </c>
      <c r="E706" t="s">
        <v>201</v>
      </c>
      <c r="F706" t="s">
        <v>205</v>
      </c>
      <c r="H706" s="7"/>
      <c r="I706" t="s">
        <v>207</v>
      </c>
    </row>
    <row r="707" spans="1:9">
      <c r="A707">
        <v>50706</v>
      </c>
      <c r="B707">
        <v>3057</v>
      </c>
      <c r="C707">
        <v>2018</v>
      </c>
      <c r="D707" s="7">
        <v>46173</v>
      </c>
      <c r="E707" t="s">
        <v>208</v>
      </c>
      <c r="F707" t="s">
        <v>202</v>
      </c>
      <c r="G707">
        <v>90</v>
      </c>
      <c r="H707" s="7">
        <v>46203</v>
      </c>
      <c r="I707" t="s">
        <v>216</v>
      </c>
    </row>
    <row r="708" spans="1:9">
      <c r="A708">
        <v>50707</v>
      </c>
      <c r="B708">
        <v>3058</v>
      </c>
      <c r="C708">
        <v>2018</v>
      </c>
      <c r="D708" s="7">
        <v>45759</v>
      </c>
      <c r="E708" t="s">
        <v>204</v>
      </c>
      <c r="F708" t="s">
        <v>202</v>
      </c>
      <c r="G708">
        <v>20</v>
      </c>
      <c r="H708" s="7">
        <v>45773</v>
      </c>
      <c r="I708" t="s">
        <v>209</v>
      </c>
    </row>
    <row r="709" spans="1:9">
      <c r="A709">
        <v>50708</v>
      </c>
      <c r="B709">
        <v>3058</v>
      </c>
      <c r="C709">
        <v>2018</v>
      </c>
      <c r="D709" s="7">
        <v>45883</v>
      </c>
      <c r="E709" t="s">
        <v>219</v>
      </c>
      <c r="F709" t="s">
        <v>202</v>
      </c>
      <c r="G709">
        <v>10</v>
      </c>
      <c r="H709" s="7">
        <v>45897</v>
      </c>
      <c r="I709" t="s">
        <v>209</v>
      </c>
    </row>
    <row r="710" spans="1:9">
      <c r="A710">
        <v>50709</v>
      </c>
      <c r="B710">
        <v>3058</v>
      </c>
      <c r="C710">
        <v>2018</v>
      </c>
      <c r="D710" s="7">
        <v>45900</v>
      </c>
      <c r="E710" t="s">
        <v>219</v>
      </c>
      <c r="F710" t="s">
        <v>202</v>
      </c>
      <c r="G710">
        <v>15</v>
      </c>
      <c r="H710" s="7">
        <v>45907</v>
      </c>
      <c r="I710" t="s">
        <v>207</v>
      </c>
    </row>
    <row r="711" spans="1:9">
      <c r="A711">
        <v>50710</v>
      </c>
      <c r="B711">
        <v>3058</v>
      </c>
      <c r="C711">
        <v>2018</v>
      </c>
      <c r="D711" s="7">
        <v>45957</v>
      </c>
      <c r="E711" t="s">
        <v>212</v>
      </c>
      <c r="F711" t="s">
        <v>202</v>
      </c>
      <c r="G711">
        <v>10</v>
      </c>
      <c r="H711" s="7">
        <v>45971</v>
      </c>
      <c r="I711" t="s">
        <v>211</v>
      </c>
    </row>
    <row r="712" spans="1:9">
      <c r="A712">
        <v>50711</v>
      </c>
      <c r="B712">
        <v>3058</v>
      </c>
      <c r="C712">
        <v>2018</v>
      </c>
      <c r="D712" s="7">
        <v>45965</v>
      </c>
      <c r="E712" t="s">
        <v>212</v>
      </c>
      <c r="F712" t="s">
        <v>202</v>
      </c>
      <c r="G712">
        <v>30</v>
      </c>
      <c r="H712" s="7">
        <v>45979</v>
      </c>
      <c r="I712" t="s">
        <v>211</v>
      </c>
    </row>
    <row r="713" spans="1:9">
      <c r="A713">
        <v>50712</v>
      </c>
      <c r="B713">
        <v>3058</v>
      </c>
      <c r="C713">
        <v>2018</v>
      </c>
      <c r="D713" s="7">
        <v>45969</v>
      </c>
      <c r="E713" t="s">
        <v>219</v>
      </c>
      <c r="F713" t="s">
        <v>218</v>
      </c>
      <c r="H713" s="7"/>
      <c r="I713" t="s">
        <v>216</v>
      </c>
    </row>
    <row r="714" spans="1:9">
      <c r="A714">
        <v>50713</v>
      </c>
      <c r="B714">
        <v>3058</v>
      </c>
      <c r="C714">
        <v>2018</v>
      </c>
      <c r="D714" s="7">
        <v>46003</v>
      </c>
      <c r="E714" t="s">
        <v>201</v>
      </c>
      <c r="F714" t="s">
        <v>202</v>
      </c>
      <c r="G714">
        <v>20</v>
      </c>
      <c r="H714" s="7">
        <v>46006</v>
      </c>
      <c r="I714" t="s">
        <v>207</v>
      </c>
    </row>
    <row r="715" spans="1:9">
      <c r="A715">
        <v>50714</v>
      </c>
      <c r="B715">
        <v>3058</v>
      </c>
      <c r="C715">
        <v>2018</v>
      </c>
      <c r="D715" s="7">
        <v>46008</v>
      </c>
      <c r="E715" t="s">
        <v>204</v>
      </c>
      <c r="F715" t="s">
        <v>213</v>
      </c>
      <c r="H715" s="7">
        <v>46029</v>
      </c>
      <c r="I715" t="s">
        <v>209</v>
      </c>
    </row>
    <row r="716" spans="1:9">
      <c r="A716">
        <v>50715</v>
      </c>
      <c r="B716">
        <v>3058</v>
      </c>
      <c r="C716">
        <v>2018</v>
      </c>
      <c r="D716" s="7">
        <v>46033</v>
      </c>
      <c r="E716" t="s">
        <v>201</v>
      </c>
      <c r="F716" t="s">
        <v>213</v>
      </c>
      <c r="H716" s="7">
        <v>46036</v>
      </c>
      <c r="I716" t="s">
        <v>209</v>
      </c>
    </row>
    <row r="717" spans="1:9">
      <c r="A717">
        <v>50716</v>
      </c>
      <c r="B717">
        <v>3058</v>
      </c>
      <c r="C717">
        <v>2018</v>
      </c>
      <c r="D717" s="7">
        <v>46057</v>
      </c>
      <c r="E717" t="s">
        <v>201</v>
      </c>
      <c r="F717" t="s">
        <v>202</v>
      </c>
      <c r="G717">
        <v>30</v>
      </c>
      <c r="H717" s="7">
        <v>46064</v>
      </c>
      <c r="I717" t="s">
        <v>217</v>
      </c>
    </row>
    <row r="718" spans="1:9">
      <c r="A718">
        <v>50717</v>
      </c>
      <c r="B718">
        <v>3058</v>
      </c>
      <c r="C718">
        <v>2018</v>
      </c>
      <c r="D718" s="7">
        <v>46185</v>
      </c>
      <c r="E718" t="s">
        <v>204</v>
      </c>
      <c r="F718" t="s">
        <v>202</v>
      </c>
      <c r="G718">
        <v>10</v>
      </c>
      <c r="H718" s="7">
        <v>46192</v>
      </c>
      <c r="I718" t="s">
        <v>206</v>
      </c>
    </row>
    <row r="719" spans="1:9">
      <c r="A719">
        <v>50718</v>
      </c>
      <c r="B719">
        <v>3059</v>
      </c>
      <c r="C719">
        <v>2003</v>
      </c>
      <c r="D719" s="7">
        <v>45815</v>
      </c>
      <c r="E719" t="s">
        <v>208</v>
      </c>
      <c r="F719" t="s">
        <v>215</v>
      </c>
      <c r="G719">
        <v>20</v>
      </c>
      <c r="H719" s="7">
        <v>45822</v>
      </c>
      <c r="I719" t="s">
        <v>216</v>
      </c>
    </row>
    <row r="720" spans="1:9">
      <c r="A720">
        <v>50719</v>
      </c>
      <c r="B720">
        <v>3059</v>
      </c>
      <c r="C720">
        <v>2003</v>
      </c>
      <c r="D720" s="7">
        <v>45930</v>
      </c>
      <c r="E720" t="s">
        <v>212</v>
      </c>
      <c r="F720" t="s">
        <v>214</v>
      </c>
      <c r="H720" s="7">
        <v>45944</v>
      </c>
      <c r="I720" t="s">
        <v>217</v>
      </c>
    </row>
    <row r="721" spans="1:9">
      <c r="A721">
        <v>50720</v>
      </c>
      <c r="B721">
        <v>3059</v>
      </c>
      <c r="C721">
        <v>2003</v>
      </c>
      <c r="D721" s="7">
        <v>45983</v>
      </c>
      <c r="E721" t="s">
        <v>212</v>
      </c>
      <c r="F721" t="s">
        <v>213</v>
      </c>
      <c r="H721" s="7">
        <v>45990</v>
      </c>
      <c r="I721" t="s">
        <v>207</v>
      </c>
    </row>
    <row r="722" spans="1:9">
      <c r="A722">
        <v>50721</v>
      </c>
      <c r="B722">
        <v>3059</v>
      </c>
      <c r="C722">
        <v>2003</v>
      </c>
      <c r="D722" s="7">
        <v>45985</v>
      </c>
      <c r="E722" t="s">
        <v>212</v>
      </c>
      <c r="F722" t="s">
        <v>202</v>
      </c>
      <c r="G722">
        <v>15</v>
      </c>
      <c r="H722" s="7">
        <v>45999</v>
      </c>
      <c r="I722" t="s">
        <v>211</v>
      </c>
    </row>
    <row r="723" spans="1:9">
      <c r="A723">
        <v>50722</v>
      </c>
      <c r="B723">
        <v>3059</v>
      </c>
      <c r="C723">
        <v>2003</v>
      </c>
      <c r="D723" s="7">
        <v>46062</v>
      </c>
      <c r="E723" t="s">
        <v>210</v>
      </c>
      <c r="F723" t="s">
        <v>214</v>
      </c>
      <c r="H723" s="7">
        <v>46083</v>
      </c>
      <c r="I723" t="s">
        <v>206</v>
      </c>
    </row>
    <row r="724" spans="1:9">
      <c r="A724">
        <v>50723</v>
      </c>
      <c r="B724">
        <v>3059</v>
      </c>
      <c r="C724">
        <v>2003</v>
      </c>
      <c r="D724" s="7">
        <v>46091</v>
      </c>
      <c r="E724" t="s">
        <v>204</v>
      </c>
      <c r="F724" t="s">
        <v>202</v>
      </c>
      <c r="G724">
        <v>10</v>
      </c>
      <c r="H724" s="7">
        <v>46098</v>
      </c>
      <c r="I724" t="s">
        <v>206</v>
      </c>
    </row>
    <row r="725" spans="1:9">
      <c r="A725">
        <v>50724</v>
      </c>
      <c r="B725">
        <v>3059</v>
      </c>
      <c r="C725">
        <v>2003</v>
      </c>
      <c r="D725" s="7">
        <v>46175</v>
      </c>
      <c r="E725" t="s">
        <v>219</v>
      </c>
      <c r="F725" t="s">
        <v>202</v>
      </c>
      <c r="G725">
        <v>20</v>
      </c>
      <c r="H725" s="7">
        <v>46178</v>
      </c>
      <c r="I725" t="s">
        <v>203</v>
      </c>
    </row>
    <row r="726" spans="1:9">
      <c r="A726">
        <v>50725</v>
      </c>
      <c r="B726">
        <v>3060</v>
      </c>
      <c r="C726">
        <v>2011</v>
      </c>
      <c r="D726" s="7">
        <v>45401</v>
      </c>
      <c r="E726" t="s">
        <v>201</v>
      </c>
      <c r="F726" t="s">
        <v>202</v>
      </c>
      <c r="G726">
        <v>45</v>
      </c>
      <c r="H726" s="7">
        <v>45404</v>
      </c>
      <c r="I726" t="s">
        <v>216</v>
      </c>
    </row>
    <row r="727" spans="1:9">
      <c r="A727">
        <v>50726</v>
      </c>
      <c r="B727">
        <v>3060</v>
      </c>
      <c r="C727">
        <v>2011</v>
      </c>
      <c r="D727" s="7">
        <v>45640</v>
      </c>
      <c r="E727" t="s">
        <v>210</v>
      </c>
      <c r="F727" t="s">
        <v>213</v>
      </c>
      <c r="H727" s="7">
        <v>45661</v>
      </c>
      <c r="I727" t="s">
        <v>209</v>
      </c>
    </row>
    <row r="728" spans="1:9">
      <c r="A728">
        <v>50727</v>
      </c>
      <c r="B728">
        <v>3060</v>
      </c>
      <c r="C728">
        <v>2011</v>
      </c>
      <c r="D728" s="7">
        <v>45648</v>
      </c>
      <c r="E728" t="s">
        <v>210</v>
      </c>
      <c r="F728" t="s">
        <v>205</v>
      </c>
      <c r="H728" s="7"/>
      <c r="I728" t="s">
        <v>207</v>
      </c>
    </row>
    <row r="729" spans="1:9">
      <c r="A729">
        <v>50728</v>
      </c>
      <c r="B729">
        <v>3060</v>
      </c>
      <c r="C729">
        <v>2011</v>
      </c>
      <c r="D729" s="7">
        <v>45963</v>
      </c>
      <c r="E729" t="s">
        <v>212</v>
      </c>
      <c r="F729" t="s">
        <v>202</v>
      </c>
      <c r="G729">
        <v>90</v>
      </c>
      <c r="H729" s="7">
        <v>45977</v>
      </c>
      <c r="I729" t="s">
        <v>217</v>
      </c>
    </row>
    <row r="730" spans="1:9">
      <c r="A730">
        <v>50729</v>
      </c>
      <c r="B730">
        <v>3060</v>
      </c>
      <c r="C730">
        <v>2011</v>
      </c>
      <c r="D730" s="7">
        <v>45993</v>
      </c>
      <c r="E730" t="s">
        <v>219</v>
      </c>
      <c r="F730" t="s">
        <v>213</v>
      </c>
      <c r="H730" s="7">
        <v>46000</v>
      </c>
      <c r="I730" t="s">
        <v>206</v>
      </c>
    </row>
    <row r="731" spans="1:9">
      <c r="A731">
        <v>50730</v>
      </c>
      <c r="B731">
        <v>3060</v>
      </c>
      <c r="C731">
        <v>2011</v>
      </c>
      <c r="D731" s="7">
        <v>46020</v>
      </c>
      <c r="E731" t="s">
        <v>219</v>
      </c>
      <c r="F731" t="s">
        <v>215</v>
      </c>
      <c r="G731">
        <v>45</v>
      </c>
      <c r="H731" s="7">
        <v>46034</v>
      </c>
      <c r="I731" t="s">
        <v>203</v>
      </c>
    </row>
    <row r="732" spans="1:9">
      <c r="A732">
        <v>50731</v>
      </c>
      <c r="B732">
        <v>3060</v>
      </c>
      <c r="C732">
        <v>2011</v>
      </c>
      <c r="D732" s="7">
        <v>46179</v>
      </c>
      <c r="E732" t="s">
        <v>219</v>
      </c>
      <c r="F732" t="s">
        <v>202</v>
      </c>
      <c r="G732">
        <v>45</v>
      </c>
      <c r="H732" s="7">
        <v>46209</v>
      </c>
      <c r="I732" t="s">
        <v>209</v>
      </c>
    </row>
    <row r="733" spans="1:9">
      <c r="A733">
        <v>50732</v>
      </c>
      <c r="B733">
        <v>3061</v>
      </c>
      <c r="C733">
        <v>2018</v>
      </c>
      <c r="D733" s="7">
        <v>45769</v>
      </c>
      <c r="E733" t="s">
        <v>208</v>
      </c>
      <c r="F733" t="s">
        <v>214</v>
      </c>
      <c r="H733" s="7">
        <v>45772</v>
      </c>
      <c r="I733" t="s">
        <v>209</v>
      </c>
    </row>
    <row r="734" spans="1:9">
      <c r="A734">
        <v>50733</v>
      </c>
      <c r="B734">
        <v>3061</v>
      </c>
      <c r="C734">
        <v>2018</v>
      </c>
      <c r="D734" s="7">
        <v>45904</v>
      </c>
      <c r="E734" t="s">
        <v>212</v>
      </c>
      <c r="F734" t="s">
        <v>202</v>
      </c>
      <c r="G734">
        <v>15</v>
      </c>
      <c r="H734" s="7">
        <v>45907</v>
      </c>
      <c r="I734" t="s">
        <v>211</v>
      </c>
    </row>
    <row r="735" spans="1:9">
      <c r="A735">
        <v>50734</v>
      </c>
      <c r="B735">
        <v>3061</v>
      </c>
      <c r="C735">
        <v>2018</v>
      </c>
      <c r="D735" s="7">
        <v>46085</v>
      </c>
      <c r="E735" t="s">
        <v>212</v>
      </c>
      <c r="F735" t="s">
        <v>202</v>
      </c>
      <c r="G735">
        <v>20</v>
      </c>
      <c r="H735" s="7">
        <v>46099</v>
      </c>
      <c r="I735" t="s">
        <v>217</v>
      </c>
    </row>
    <row r="736" spans="1:9">
      <c r="A736">
        <v>50735</v>
      </c>
      <c r="B736">
        <v>3061</v>
      </c>
      <c r="C736">
        <v>2018</v>
      </c>
      <c r="D736" s="7">
        <v>46099</v>
      </c>
      <c r="E736" t="s">
        <v>210</v>
      </c>
      <c r="F736" t="s">
        <v>202</v>
      </c>
      <c r="G736">
        <v>90</v>
      </c>
      <c r="H736" s="7">
        <v>46106</v>
      </c>
      <c r="I736" t="s">
        <v>217</v>
      </c>
    </row>
    <row r="737" spans="1:9">
      <c r="A737">
        <v>50736</v>
      </c>
      <c r="B737">
        <v>3061</v>
      </c>
      <c r="C737">
        <v>2018</v>
      </c>
      <c r="D737" s="7">
        <v>46202</v>
      </c>
      <c r="E737" t="s">
        <v>208</v>
      </c>
      <c r="F737" t="s">
        <v>214</v>
      </c>
      <c r="H737" s="7">
        <v>46209</v>
      </c>
      <c r="I737" t="s">
        <v>209</v>
      </c>
    </row>
    <row r="738" spans="1:9">
      <c r="A738">
        <v>50737</v>
      </c>
      <c r="B738">
        <v>3062</v>
      </c>
      <c r="C738">
        <v>2005</v>
      </c>
      <c r="D738" s="7">
        <v>45433</v>
      </c>
      <c r="E738" t="s">
        <v>204</v>
      </c>
      <c r="F738" t="s">
        <v>202</v>
      </c>
      <c r="G738">
        <v>60</v>
      </c>
      <c r="H738" s="7">
        <v>45440</v>
      </c>
      <c r="I738" t="s">
        <v>211</v>
      </c>
    </row>
    <row r="739" spans="1:9">
      <c r="A739">
        <v>50738</v>
      </c>
      <c r="B739">
        <v>3062</v>
      </c>
      <c r="C739">
        <v>2005</v>
      </c>
      <c r="D739" s="7">
        <v>45678</v>
      </c>
      <c r="E739" t="s">
        <v>212</v>
      </c>
      <c r="F739" t="s">
        <v>202</v>
      </c>
      <c r="G739">
        <v>30</v>
      </c>
      <c r="H739" s="7">
        <v>45699</v>
      </c>
      <c r="I739" t="s">
        <v>203</v>
      </c>
    </row>
    <row r="740" spans="1:9">
      <c r="A740">
        <v>50739</v>
      </c>
      <c r="B740">
        <v>3062</v>
      </c>
      <c r="C740">
        <v>2005</v>
      </c>
      <c r="D740" s="7">
        <v>45732</v>
      </c>
      <c r="E740" t="s">
        <v>204</v>
      </c>
      <c r="F740" t="s">
        <v>202</v>
      </c>
      <c r="G740">
        <v>45</v>
      </c>
      <c r="H740" s="7">
        <v>45739</v>
      </c>
      <c r="I740" t="s">
        <v>206</v>
      </c>
    </row>
    <row r="741" spans="1:9">
      <c r="A741">
        <v>50740</v>
      </c>
      <c r="B741">
        <v>3062</v>
      </c>
      <c r="C741">
        <v>2005</v>
      </c>
      <c r="D741" s="7">
        <v>46016</v>
      </c>
      <c r="E741" t="s">
        <v>212</v>
      </c>
      <c r="F741" t="s">
        <v>215</v>
      </c>
      <c r="G741">
        <v>20</v>
      </c>
      <c r="H741" s="7">
        <v>46030</v>
      </c>
      <c r="I741" t="s">
        <v>206</v>
      </c>
    </row>
    <row r="742" spans="1:9">
      <c r="A742">
        <v>50741</v>
      </c>
      <c r="B742">
        <v>3062</v>
      </c>
      <c r="C742">
        <v>2005</v>
      </c>
      <c r="D742" s="7">
        <v>46091</v>
      </c>
      <c r="E742" t="s">
        <v>201</v>
      </c>
      <c r="F742" t="s">
        <v>202</v>
      </c>
      <c r="G742">
        <v>30</v>
      </c>
      <c r="H742" s="7">
        <v>46098</v>
      </c>
      <c r="I742" t="s">
        <v>206</v>
      </c>
    </row>
    <row r="743" spans="1:9">
      <c r="A743">
        <v>50742</v>
      </c>
      <c r="B743">
        <v>3062</v>
      </c>
      <c r="C743">
        <v>2005</v>
      </c>
      <c r="D743" s="7">
        <v>46212</v>
      </c>
      <c r="E743" t="s">
        <v>212</v>
      </c>
      <c r="F743" t="s">
        <v>202</v>
      </c>
      <c r="G743">
        <v>30</v>
      </c>
      <c r="H743" s="7"/>
      <c r="I743" t="s">
        <v>209</v>
      </c>
    </row>
    <row r="744" spans="1:9">
      <c r="A744">
        <v>50743</v>
      </c>
      <c r="B744">
        <v>3063</v>
      </c>
      <c r="C744">
        <v>2017</v>
      </c>
      <c r="D744" s="7">
        <v>45619</v>
      </c>
      <c r="E744" t="s">
        <v>208</v>
      </c>
      <c r="F744" t="s">
        <v>215</v>
      </c>
      <c r="G744">
        <v>60</v>
      </c>
      <c r="H744" s="7">
        <v>45622</v>
      </c>
      <c r="I744" t="s">
        <v>211</v>
      </c>
    </row>
    <row r="745" spans="1:9">
      <c r="A745">
        <v>50744</v>
      </c>
      <c r="B745">
        <v>3063</v>
      </c>
      <c r="C745">
        <v>2017</v>
      </c>
      <c r="D745" s="7">
        <v>45621</v>
      </c>
      <c r="E745" t="s">
        <v>204</v>
      </c>
      <c r="F745" t="s">
        <v>214</v>
      </c>
      <c r="H745" s="7">
        <v>45624</v>
      </c>
      <c r="I745" t="s">
        <v>209</v>
      </c>
    </row>
    <row r="746" spans="1:9">
      <c r="A746">
        <v>50745</v>
      </c>
      <c r="B746">
        <v>3063</v>
      </c>
      <c r="C746">
        <v>2017</v>
      </c>
      <c r="D746" s="7">
        <v>45631</v>
      </c>
      <c r="E746" t="s">
        <v>210</v>
      </c>
      <c r="F746" t="s">
        <v>202</v>
      </c>
      <c r="G746">
        <v>45</v>
      </c>
      <c r="H746" s="7">
        <v>45661</v>
      </c>
      <c r="I746" t="s">
        <v>207</v>
      </c>
    </row>
    <row r="747" spans="1:9">
      <c r="A747">
        <v>50746</v>
      </c>
      <c r="B747">
        <v>3063</v>
      </c>
      <c r="C747">
        <v>2017</v>
      </c>
      <c r="D747" s="7">
        <v>45682</v>
      </c>
      <c r="E747" t="s">
        <v>201</v>
      </c>
      <c r="F747" t="s">
        <v>214</v>
      </c>
      <c r="H747" s="7">
        <v>45712</v>
      </c>
      <c r="I747" t="s">
        <v>209</v>
      </c>
    </row>
    <row r="748" spans="1:9">
      <c r="A748">
        <v>50747</v>
      </c>
      <c r="B748">
        <v>3063</v>
      </c>
      <c r="C748">
        <v>2017</v>
      </c>
      <c r="D748" s="7">
        <v>45687</v>
      </c>
      <c r="E748" t="s">
        <v>212</v>
      </c>
      <c r="F748" t="s">
        <v>213</v>
      </c>
      <c r="H748" s="7">
        <v>45694</v>
      </c>
      <c r="I748" t="s">
        <v>206</v>
      </c>
    </row>
    <row r="749" spans="1:9">
      <c r="A749">
        <v>50748</v>
      </c>
      <c r="B749">
        <v>3063</v>
      </c>
      <c r="C749">
        <v>2017</v>
      </c>
      <c r="D749" s="7">
        <v>45694</v>
      </c>
      <c r="E749" t="s">
        <v>212</v>
      </c>
      <c r="F749" t="s">
        <v>215</v>
      </c>
      <c r="G749">
        <v>20</v>
      </c>
      <c r="H749" s="7">
        <v>45701</v>
      </c>
      <c r="I749" t="s">
        <v>209</v>
      </c>
    </row>
    <row r="750" spans="1:9">
      <c r="A750">
        <v>50749</v>
      </c>
      <c r="B750">
        <v>3063</v>
      </c>
      <c r="C750">
        <v>2017</v>
      </c>
      <c r="D750" s="7">
        <v>45724</v>
      </c>
      <c r="E750" t="s">
        <v>219</v>
      </c>
      <c r="F750" t="s">
        <v>202</v>
      </c>
      <c r="G750">
        <v>15</v>
      </c>
      <c r="H750" s="7">
        <v>45731</v>
      </c>
      <c r="I750" t="s">
        <v>203</v>
      </c>
    </row>
    <row r="751" spans="1:9">
      <c r="A751">
        <v>50750</v>
      </c>
      <c r="B751">
        <v>3063</v>
      </c>
      <c r="C751">
        <v>2017</v>
      </c>
      <c r="D751" s="7">
        <v>45746</v>
      </c>
      <c r="E751" t="s">
        <v>219</v>
      </c>
      <c r="F751" t="s">
        <v>214</v>
      </c>
      <c r="H751" s="7">
        <v>45776</v>
      </c>
      <c r="I751" t="s">
        <v>206</v>
      </c>
    </row>
    <row r="752" spans="1:9">
      <c r="A752">
        <v>50751</v>
      </c>
      <c r="B752">
        <v>3063</v>
      </c>
      <c r="C752">
        <v>2017</v>
      </c>
      <c r="D752" s="7">
        <v>45777</v>
      </c>
      <c r="E752" t="s">
        <v>204</v>
      </c>
      <c r="F752" t="s">
        <v>218</v>
      </c>
      <c r="H752" s="7"/>
      <c r="I752" t="s">
        <v>217</v>
      </c>
    </row>
    <row r="753" spans="1:9">
      <c r="A753">
        <v>50752</v>
      </c>
      <c r="B753">
        <v>3063</v>
      </c>
      <c r="C753">
        <v>2017</v>
      </c>
      <c r="D753" s="7">
        <v>45806</v>
      </c>
      <c r="E753" t="s">
        <v>219</v>
      </c>
      <c r="F753" t="s">
        <v>202</v>
      </c>
      <c r="G753">
        <v>45</v>
      </c>
      <c r="H753" s="7">
        <v>45827</v>
      </c>
      <c r="I753" t="s">
        <v>207</v>
      </c>
    </row>
    <row r="754" spans="1:9">
      <c r="A754">
        <v>50753</v>
      </c>
      <c r="B754">
        <v>3063</v>
      </c>
      <c r="C754">
        <v>2017</v>
      </c>
      <c r="D754" s="7">
        <v>45959</v>
      </c>
      <c r="E754" t="s">
        <v>208</v>
      </c>
      <c r="F754" t="s">
        <v>202</v>
      </c>
      <c r="G754">
        <v>30</v>
      </c>
      <c r="H754" s="7">
        <v>45966</v>
      </c>
      <c r="I754" t="s">
        <v>209</v>
      </c>
    </row>
    <row r="755" spans="1:9">
      <c r="A755">
        <v>50754</v>
      </c>
      <c r="B755">
        <v>3063</v>
      </c>
      <c r="C755">
        <v>2017</v>
      </c>
      <c r="D755" s="7">
        <v>45969</v>
      </c>
      <c r="E755" t="s">
        <v>219</v>
      </c>
      <c r="F755" t="s">
        <v>205</v>
      </c>
      <c r="H755" s="7"/>
      <c r="I755" t="s">
        <v>207</v>
      </c>
    </row>
    <row r="756" spans="1:9">
      <c r="A756">
        <v>50755</v>
      </c>
      <c r="B756">
        <v>3063</v>
      </c>
      <c r="C756">
        <v>2017</v>
      </c>
      <c r="D756" s="7">
        <v>46017</v>
      </c>
      <c r="E756" t="s">
        <v>204</v>
      </c>
      <c r="F756" t="s">
        <v>202</v>
      </c>
      <c r="G756">
        <v>90</v>
      </c>
      <c r="H756" s="7">
        <v>46020</v>
      </c>
      <c r="I756" t="s">
        <v>209</v>
      </c>
    </row>
    <row r="757" spans="1:9">
      <c r="A757">
        <v>50756</v>
      </c>
      <c r="B757">
        <v>3063</v>
      </c>
      <c r="C757">
        <v>2017</v>
      </c>
      <c r="D757" s="7">
        <v>46032</v>
      </c>
      <c r="E757" t="s">
        <v>212</v>
      </c>
      <c r="F757" t="s">
        <v>213</v>
      </c>
      <c r="H757" s="7">
        <v>46035</v>
      </c>
      <c r="I757" t="s">
        <v>209</v>
      </c>
    </row>
    <row r="758" spans="1:9">
      <c r="A758">
        <v>50757</v>
      </c>
      <c r="B758">
        <v>3063</v>
      </c>
      <c r="C758">
        <v>2017</v>
      </c>
      <c r="D758" s="7">
        <v>46033</v>
      </c>
      <c r="E758" t="s">
        <v>212</v>
      </c>
      <c r="F758" t="s">
        <v>213</v>
      </c>
      <c r="H758" s="7">
        <v>46054</v>
      </c>
      <c r="I758" t="s">
        <v>216</v>
      </c>
    </row>
    <row r="759" spans="1:9">
      <c r="A759">
        <v>50758</v>
      </c>
      <c r="B759">
        <v>3063</v>
      </c>
      <c r="C759">
        <v>2017</v>
      </c>
      <c r="D759" s="7">
        <v>46049</v>
      </c>
      <c r="E759" t="s">
        <v>204</v>
      </c>
      <c r="F759" t="s">
        <v>202</v>
      </c>
      <c r="G759">
        <v>60</v>
      </c>
      <c r="H759" s="7">
        <v>46052</v>
      </c>
      <c r="I759" t="s">
        <v>216</v>
      </c>
    </row>
    <row r="760" spans="1:9">
      <c r="A760">
        <v>50759</v>
      </c>
      <c r="B760">
        <v>3063</v>
      </c>
      <c r="C760">
        <v>2017</v>
      </c>
      <c r="D760" s="7">
        <v>46095</v>
      </c>
      <c r="E760" t="s">
        <v>212</v>
      </c>
      <c r="F760" t="s">
        <v>213</v>
      </c>
      <c r="H760" s="7">
        <v>46098</v>
      </c>
      <c r="I760" t="s">
        <v>207</v>
      </c>
    </row>
    <row r="761" spans="1:9">
      <c r="A761">
        <v>50760</v>
      </c>
      <c r="B761">
        <v>3063</v>
      </c>
      <c r="C761">
        <v>2017</v>
      </c>
      <c r="D761" s="7">
        <v>46166</v>
      </c>
      <c r="E761" t="s">
        <v>204</v>
      </c>
      <c r="F761" t="s">
        <v>218</v>
      </c>
      <c r="H761" s="7"/>
      <c r="I761" t="s">
        <v>209</v>
      </c>
    </row>
    <row r="762" spans="1:9">
      <c r="A762">
        <v>50761</v>
      </c>
      <c r="B762">
        <v>3063</v>
      </c>
      <c r="C762">
        <v>2017</v>
      </c>
      <c r="D762" s="7">
        <v>46182</v>
      </c>
      <c r="E762" t="s">
        <v>212</v>
      </c>
      <c r="F762" t="s">
        <v>205</v>
      </c>
      <c r="H762" s="7"/>
      <c r="I762" t="s">
        <v>207</v>
      </c>
    </row>
    <row r="763" spans="1:9">
      <c r="A763">
        <v>50762</v>
      </c>
      <c r="B763">
        <v>3064</v>
      </c>
      <c r="C763">
        <v>2017</v>
      </c>
      <c r="D763" s="7">
        <v>45994</v>
      </c>
      <c r="E763" t="s">
        <v>212</v>
      </c>
      <c r="F763" t="s">
        <v>202</v>
      </c>
      <c r="G763">
        <v>10</v>
      </c>
      <c r="H763" s="7">
        <v>46024</v>
      </c>
      <c r="I763" t="s">
        <v>203</v>
      </c>
    </row>
    <row r="764" spans="1:9">
      <c r="A764">
        <v>50763</v>
      </c>
      <c r="B764">
        <v>3064</v>
      </c>
      <c r="C764">
        <v>2017</v>
      </c>
      <c r="D764" s="7">
        <v>45995</v>
      </c>
      <c r="E764" t="s">
        <v>212</v>
      </c>
      <c r="F764" t="s">
        <v>202</v>
      </c>
      <c r="G764">
        <v>10</v>
      </c>
      <c r="H764" s="7">
        <v>46016</v>
      </c>
      <c r="I764" t="s">
        <v>211</v>
      </c>
    </row>
    <row r="765" spans="1:9">
      <c r="A765">
        <v>50764</v>
      </c>
      <c r="B765">
        <v>3064</v>
      </c>
      <c r="C765">
        <v>2017</v>
      </c>
      <c r="D765" s="7">
        <v>45996</v>
      </c>
      <c r="E765" t="s">
        <v>210</v>
      </c>
      <c r="F765" t="s">
        <v>213</v>
      </c>
      <c r="H765" s="7">
        <v>46026</v>
      </c>
      <c r="I765" t="s">
        <v>203</v>
      </c>
    </row>
    <row r="766" spans="1:9">
      <c r="A766">
        <v>50765</v>
      </c>
      <c r="B766">
        <v>3064</v>
      </c>
      <c r="C766">
        <v>2017</v>
      </c>
      <c r="D766" s="7">
        <v>46003</v>
      </c>
      <c r="E766" t="s">
        <v>208</v>
      </c>
      <c r="F766" t="s">
        <v>202</v>
      </c>
      <c r="G766">
        <v>60</v>
      </c>
      <c r="H766" s="7">
        <v>46010</v>
      </c>
      <c r="I766" t="s">
        <v>207</v>
      </c>
    </row>
    <row r="767" spans="1:9">
      <c r="A767">
        <v>50766</v>
      </c>
      <c r="B767">
        <v>3064</v>
      </c>
      <c r="C767">
        <v>2017</v>
      </c>
      <c r="D767" s="7">
        <v>46003</v>
      </c>
      <c r="E767" t="s">
        <v>201</v>
      </c>
      <c r="F767" t="s">
        <v>213</v>
      </c>
      <c r="H767" s="7">
        <v>46017</v>
      </c>
      <c r="I767" t="s">
        <v>216</v>
      </c>
    </row>
    <row r="768" spans="1:9">
      <c r="A768">
        <v>50767</v>
      </c>
      <c r="B768">
        <v>3064</v>
      </c>
      <c r="C768">
        <v>2017</v>
      </c>
      <c r="D768" s="7">
        <v>46005</v>
      </c>
      <c r="E768" t="s">
        <v>201</v>
      </c>
      <c r="F768" t="s">
        <v>202</v>
      </c>
      <c r="G768">
        <v>45</v>
      </c>
      <c r="H768" s="7">
        <v>46019</v>
      </c>
      <c r="I768" t="s">
        <v>206</v>
      </c>
    </row>
    <row r="769" spans="1:9">
      <c r="A769">
        <v>50768</v>
      </c>
      <c r="B769">
        <v>3064</v>
      </c>
      <c r="C769">
        <v>2017</v>
      </c>
      <c r="D769" s="7">
        <v>46010</v>
      </c>
      <c r="E769" t="s">
        <v>219</v>
      </c>
      <c r="F769" t="s">
        <v>202</v>
      </c>
      <c r="G769">
        <v>15</v>
      </c>
      <c r="H769" s="7">
        <v>46024</v>
      </c>
      <c r="I769" t="s">
        <v>209</v>
      </c>
    </row>
    <row r="770" spans="1:9">
      <c r="A770">
        <v>50769</v>
      </c>
      <c r="B770">
        <v>3064</v>
      </c>
      <c r="C770">
        <v>2017</v>
      </c>
      <c r="D770" s="7">
        <v>46011</v>
      </c>
      <c r="E770" t="s">
        <v>201</v>
      </c>
      <c r="F770" t="s">
        <v>214</v>
      </c>
      <c r="H770" s="7">
        <v>46032</v>
      </c>
      <c r="I770" t="s">
        <v>206</v>
      </c>
    </row>
    <row r="771" spans="1:9">
      <c r="A771">
        <v>50770</v>
      </c>
      <c r="B771">
        <v>3064</v>
      </c>
      <c r="C771">
        <v>2017</v>
      </c>
      <c r="D771" s="7">
        <v>46033</v>
      </c>
      <c r="E771" t="s">
        <v>201</v>
      </c>
      <c r="F771" t="s">
        <v>202</v>
      </c>
      <c r="G771">
        <v>45</v>
      </c>
      <c r="H771" s="7">
        <v>46063</v>
      </c>
      <c r="I771" t="s">
        <v>203</v>
      </c>
    </row>
    <row r="772" spans="1:9">
      <c r="A772">
        <v>50771</v>
      </c>
      <c r="B772">
        <v>3064</v>
      </c>
      <c r="C772">
        <v>2017</v>
      </c>
      <c r="D772" s="7">
        <v>46035</v>
      </c>
      <c r="E772" t="s">
        <v>212</v>
      </c>
      <c r="F772" t="s">
        <v>202</v>
      </c>
      <c r="G772">
        <v>15</v>
      </c>
      <c r="H772" s="7">
        <v>46042</v>
      </c>
      <c r="I772" t="s">
        <v>211</v>
      </c>
    </row>
    <row r="773" spans="1:9">
      <c r="A773">
        <v>50772</v>
      </c>
      <c r="B773">
        <v>3064</v>
      </c>
      <c r="C773">
        <v>2017</v>
      </c>
      <c r="D773" s="7">
        <v>46035</v>
      </c>
      <c r="E773" t="s">
        <v>204</v>
      </c>
      <c r="F773" t="s">
        <v>214</v>
      </c>
      <c r="H773" s="7">
        <v>46056</v>
      </c>
      <c r="I773" t="s">
        <v>217</v>
      </c>
    </row>
    <row r="774" spans="1:9">
      <c r="A774">
        <v>50773</v>
      </c>
      <c r="B774">
        <v>3064</v>
      </c>
      <c r="C774">
        <v>2017</v>
      </c>
      <c r="D774" s="7">
        <v>46036</v>
      </c>
      <c r="E774" t="s">
        <v>201</v>
      </c>
      <c r="F774" t="s">
        <v>202</v>
      </c>
      <c r="G774">
        <v>30</v>
      </c>
      <c r="H774" s="7">
        <v>46066</v>
      </c>
      <c r="I774" t="s">
        <v>209</v>
      </c>
    </row>
    <row r="775" spans="1:9">
      <c r="A775">
        <v>50774</v>
      </c>
      <c r="B775">
        <v>3064</v>
      </c>
      <c r="C775">
        <v>2017</v>
      </c>
      <c r="D775" s="7">
        <v>46050</v>
      </c>
      <c r="E775" t="s">
        <v>204</v>
      </c>
      <c r="F775" t="s">
        <v>202</v>
      </c>
      <c r="G775">
        <v>10</v>
      </c>
      <c r="H775" s="7">
        <v>46080</v>
      </c>
      <c r="I775" t="s">
        <v>211</v>
      </c>
    </row>
    <row r="776" spans="1:9">
      <c r="A776">
        <v>50775</v>
      </c>
      <c r="B776">
        <v>3065</v>
      </c>
      <c r="C776">
        <v>2014</v>
      </c>
      <c r="D776" s="7">
        <v>46065</v>
      </c>
      <c r="E776" t="s">
        <v>212</v>
      </c>
      <c r="F776" t="s">
        <v>214</v>
      </c>
      <c r="H776" s="7">
        <v>46068</v>
      </c>
      <c r="I776" t="s">
        <v>216</v>
      </c>
    </row>
    <row r="777" spans="1:9">
      <c r="A777">
        <v>50776</v>
      </c>
      <c r="B777">
        <v>3065</v>
      </c>
      <c r="C777">
        <v>2014</v>
      </c>
      <c r="D777" s="7">
        <v>46073</v>
      </c>
      <c r="E777" t="s">
        <v>219</v>
      </c>
      <c r="F777" t="s">
        <v>214</v>
      </c>
      <c r="H777" s="7">
        <v>46076</v>
      </c>
      <c r="I777" t="s">
        <v>209</v>
      </c>
    </row>
    <row r="778" spans="1:9">
      <c r="A778">
        <v>50777</v>
      </c>
      <c r="B778">
        <v>3065</v>
      </c>
      <c r="C778">
        <v>2014</v>
      </c>
      <c r="D778" s="7">
        <v>46087</v>
      </c>
      <c r="E778" t="s">
        <v>201</v>
      </c>
      <c r="F778" t="s">
        <v>213</v>
      </c>
      <c r="H778" s="7">
        <v>46117</v>
      </c>
      <c r="I778" t="s">
        <v>211</v>
      </c>
    </row>
    <row r="779" spans="1:9">
      <c r="A779">
        <v>50778</v>
      </c>
      <c r="B779">
        <v>3065</v>
      </c>
      <c r="C779">
        <v>2014</v>
      </c>
      <c r="D779" s="7">
        <v>46103</v>
      </c>
      <c r="E779" t="s">
        <v>208</v>
      </c>
      <c r="F779" t="s">
        <v>213</v>
      </c>
      <c r="H779" s="7">
        <v>46110</v>
      </c>
      <c r="I779" t="s">
        <v>216</v>
      </c>
    </row>
    <row r="780" spans="1:9">
      <c r="A780">
        <v>50779</v>
      </c>
      <c r="B780">
        <v>3065</v>
      </c>
      <c r="C780">
        <v>2014</v>
      </c>
      <c r="D780" s="7">
        <v>46104</v>
      </c>
      <c r="E780" t="s">
        <v>219</v>
      </c>
      <c r="F780" t="s">
        <v>202</v>
      </c>
      <c r="G780">
        <v>30</v>
      </c>
      <c r="H780" s="7">
        <v>46118</v>
      </c>
      <c r="I780" t="s">
        <v>209</v>
      </c>
    </row>
    <row r="781" spans="1:9">
      <c r="A781">
        <v>50780</v>
      </c>
      <c r="B781">
        <v>3065</v>
      </c>
      <c r="C781">
        <v>2014</v>
      </c>
      <c r="D781" s="7">
        <v>46125</v>
      </c>
      <c r="E781" t="s">
        <v>208</v>
      </c>
      <c r="F781" t="s">
        <v>205</v>
      </c>
      <c r="H781" s="7"/>
      <c r="I781" t="s">
        <v>217</v>
      </c>
    </row>
    <row r="782" spans="1:9">
      <c r="A782">
        <v>50781</v>
      </c>
      <c r="B782">
        <v>3065</v>
      </c>
      <c r="C782">
        <v>2014</v>
      </c>
      <c r="D782" s="7">
        <v>46135</v>
      </c>
      <c r="E782" t="s">
        <v>212</v>
      </c>
      <c r="F782" t="s">
        <v>205</v>
      </c>
      <c r="H782" s="7"/>
      <c r="I782" t="s">
        <v>216</v>
      </c>
    </row>
    <row r="783" spans="1:9">
      <c r="A783">
        <v>50782</v>
      </c>
      <c r="B783">
        <v>3065</v>
      </c>
      <c r="C783">
        <v>2014</v>
      </c>
      <c r="D783" s="7">
        <v>46135</v>
      </c>
      <c r="E783" t="s">
        <v>201</v>
      </c>
      <c r="F783" t="s">
        <v>202</v>
      </c>
      <c r="G783">
        <v>90</v>
      </c>
      <c r="H783" s="7">
        <v>46149</v>
      </c>
      <c r="I783" t="s">
        <v>206</v>
      </c>
    </row>
    <row r="784" spans="1:9">
      <c r="A784">
        <v>50783</v>
      </c>
      <c r="B784">
        <v>3065</v>
      </c>
      <c r="C784">
        <v>2014</v>
      </c>
      <c r="D784" s="7">
        <v>46147</v>
      </c>
      <c r="E784" t="s">
        <v>201</v>
      </c>
      <c r="F784" t="s">
        <v>205</v>
      </c>
      <c r="H784" s="7"/>
      <c r="I784" t="s">
        <v>207</v>
      </c>
    </row>
    <row r="785" spans="1:9">
      <c r="A785">
        <v>50784</v>
      </c>
      <c r="B785">
        <v>3065</v>
      </c>
      <c r="C785">
        <v>2014</v>
      </c>
      <c r="D785" s="7">
        <v>46149</v>
      </c>
      <c r="E785" t="s">
        <v>204</v>
      </c>
      <c r="F785" t="s">
        <v>215</v>
      </c>
      <c r="G785">
        <v>45</v>
      </c>
      <c r="H785" s="7">
        <v>46156</v>
      </c>
      <c r="I785" t="s">
        <v>216</v>
      </c>
    </row>
    <row r="786" spans="1:9">
      <c r="A786">
        <v>50785</v>
      </c>
      <c r="B786">
        <v>3065</v>
      </c>
      <c r="C786">
        <v>2014</v>
      </c>
      <c r="D786" s="7">
        <v>46153</v>
      </c>
      <c r="E786" t="s">
        <v>204</v>
      </c>
      <c r="F786" t="s">
        <v>205</v>
      </c>
      <c r="H786" s="7"/>
      <c r="I786" t="s">
        <v>211</v>
      </c>
    </row>
    <row r="787" spans="1:9">
      <c r="A787">
        <v>50786</v>
      </c>
      <c r="B787">
        <v>3065</v>
      </c>
      <c r="C787">
        <v>2014</v>
      </c>
      <c r="D787" s="7">
        <v>46156</v>
      </c>
      <c r="E787" t="s">
        <v>212</v>
      </c>
      <c r="F787" t="s">
        <v>202</v>
      </c>
      <c r="G787">
        <v>30</v>
      </c>
      <c r="H787" s="7">
        <v>46170</v>
      </c>
      <c r="I787" t="s">
        <v>216</v>
      </c>
    </row>
    <row r="788" spans="1:9">
      <c r="A788">
        <v>50787</v>
      </c>
      <c r="B788">
        <v>3065</v>
      </c>
      <c r="C788">
        <v>2014</v>
      </c>
      <c r="D788" s="7">
        <v>46194</v>
      </c>
      <c r="E788" t="s">
        <v>201</v>
      </c>
      <c r="F788" t="s">
        <v>214</v>
      </c>
      <c r="H788" s="7">
        <v>46208</v>
      </c>
      <c r="I788" t="s">
        <v>206</v>
      </c>
    </row>
    <row r="789" spans="1:9">
      <c r="A789">
        <v>50788</v>
      </c>
      <c r="B789">
        <v>3065</v>
      </c>
      <c r="C789">
        <v>2014</v>
      </c>
      <c r="D789" s="7">
        <v>46204</v>
      </c>
      <c r="E789" t="s">
        <v>204</v>
      </c>
      <c r="F789" t="s">
        <v>202</v>
      </c>
      <c r="G789">
        <v>20</v>
      </c>
      <c r="H789" s="7">
        <v>46211</v>
      </c>
      <c r="I789" t="s">
        <v>207</v>
      </c>
    </row>
    <row r="790" spans="1:9">
      <c r="A790">
        <v>50789</v>
      </c>
      <c r="B790">
        <v>3065</v>
      </c>
      <c r="C790">
        <v>2014</v>
      </c>
      <c r="D790" s="7">
        <v>46214</v>
      </c>
      <c r="E790" t="s">
        <v>212</v>
      </c>
      <c r="F790" t="s">
        <v>202</v>
      </c>
      <c r="G790">
        <v>30</v>
      </c>
      <c r="H790" s="7"/>
      <c r="I790" t="s">
        <v>217</v>
      </c>
    </row>
    <row r="791" spans="1:9">
      <c r="A791">
        <v>50790</v>
      </c>
      <c r="B791">
        <v>3066</v>
      </c>
      <c r="C791">
        <v>2012</v>
      </c>
      <c r="D791" s="7">
        <v>46154</v>
      </c>
      <c r="E791" t="s">
        <v>212</v>
      </c>
      <c r="F791" t="s">
        <v>202</v>
      </c>
      <c r="G791">
        <v>30</v>
      </c>
      <c r="H791" s="7">
        <v>46175</v>
      </c>
      <c r="I791" t="s">
        <v>203</v>
      </c>
    </row>
    <row r="792" spans="1:9">
      <c r="A792">
        <v>50791</v>
      </c>
      <c r="B792">
        <v>3066</v>
      </c>
      <c r="C792">
        <v>2012</v>
      </c>
      <c r="D792" s="7">
        <v>46155</v>
      </c>
      <c r="E792" t="s">
        <v>212</v>
      </c>
      <c r="F792" t="s">
        <v>202</v>
      </c>
      <c r="G792">
        <v>10</v>
      </c>
      <c r="H792" s="7">
        <v>46185</v>
      </c>
      <c r="I792" t="s">
        <v>207</v>
      </c>
    </row>
    <row r="793" spans="1:9">
      <c r="A793">
        <v>50792</v>
      </c>
      <c r="B793">
        <v>3066</v>
      </c>
      <c r="C793">
        <v>2012</v>
      </c>
      <c r="D793" s="7">
        <v>46155</v>
      </c>
      <c r="E793" t="s">
        <v>201</v>
      </c>
      <c r="F793" t="s">
        <v>218</v>
      </c>
      <c r="H793" s="7"/>
      <c r="I793" t="s">
        <v>203</v>
      </c>
    </row>
    <row r="794" spans="1:9">
      <c r="A794">
        <v>50793</v>
      </c>
      <c r="B794">
        <v>3066</v>
      </c>
      <c r="C794">
        <v>2012</v>
      </c>
      <c r="D794" s="7">
        <v>46155</v>
      </c>
      <c r="E794" t="s">
        <v>201</v>
      </c>
      <c r="F794" t="s">
        <v>218</v>
      </c>
      <c r="H794" s="7"/>
      <c r="I794" t="s">
        <v>203</v>
      </c>
    </row>
    <row r="795" spans="1:9">
      <c r="A795">
        <v>50794</v>
      </c>
      <c r="B795">
        <v>3066</v>
      </c>
      <c r="C795">
        <v>2012</v>
      </c>
      <c r="D795" s="7">
        <v>46159</v>
      </c>
      <c r="E795" t="s">
        <v>210</v>
      </c>
      <c r="F795" t="s">
        <v>205</v>
      </c>
      <c r="H795" s="7"/>
      <c r="I795" t="s">
        <v>211</v>
      </c>
    </row>
    <row r="796" spans="1:9">
      <c r="A796">
        <v>50795</v>
      </c>
      <c r="B796">
        <v>3066</v>
      </c>
      <c r="C796">
        <v>2012</v>
      </c>
      <c r="D796" s="7">
        <v>46161</v>
      </c>
      <c r="E796" t="s">
        <v>219</v>
      </c>
      <c r="F796" t="s">
        <v>202</v>
      </c>
      <c r="G796">
        <v>60</v>
      </c>
      <c r="H796" s="7">
        <v>46191</v>
      </c>
      <c r="I796" t="s">
        <v>211</v>
      </c>
    </row>
    <row r="797" spans="1:9">
      <c r="A797">
        <v>50796</v>
      </c>
      <c r="B797">
        <v>3066</v>
      </c>
      <c r="C797">
        <v>2012</v>
      </c>
      <c r="D797" s="7">
        <v>46161</v>
      </c>
      <c r="E797" t="s">
        <v>204</v>
      </c>
      <c r="F797" t="s">
        <v>213</v>
      </c>
      <c r="H797" s="7">
        <v>46182</v>
      </c>
      <c r="I797" t="s">
        <v>216</v>
      </c>
    </row>
    <row r="798" spans="1:9">
      <c r="A798">
        <v>50797</v>
      </c>
      <c r="B798">
        <v>3066</v>
      </c>
      <c r="C798">
        <v>2012</v>
      </c>
      <c r="D798" s="7">
        <v>46163</v>
      </c>
      <c r="E798" t="s">
        <v>210</v>
      </c>
      <c r="F798" t="s">
        <v>213</v>
      </c>
      <c r="H798" s="7">
        <v>46184</v>
      </c>
      <c r="I798" t="s">
        <v>216</v>
      </c>
    </row>
    <row r="799" spans="1:9">
      <c r="A799">
        <v>50798</v>
      </c>
      <c r="B799">
        <v>3066</v>
      </c>
      <c r="C799">
        <v>2012</v>
      </c>
      <c r="D799" s="7">
        <v>46166</v>
      </c>
      <c r="E799" t="s">
        <v>210</v>
      </c>
      <c r="F799" t="s">
        <v>213</v>
      </c>
      <c r="H799" s="7">
        <v>46173</v>
      </c>
      <c r="I799" t="s">
        <v>206</v>
      </c>
    </row>
    <row r="800" spans="1:9">
      <c r="A800">
        <v>50799</v>
      </c>
      <c r="B800">
        <v>3066</v>
      </c>
      <c r="C800">
        <v>2012</v>
      </c>
      <c r="D800" s="7">
        <v>46168</v>
      </c>
      <c r="E800" t="s">
        <v>212</v>
      </c>
      <c r="F800" t="s">
        <v>213</v>
      </c>
      <c r="H800" s="7">
        <v>46175</v>
      </c>
      <c r="I800" t="s">
        <v>209</v>
      </c>
    </row>
    <row r="801" spans="1:9">
      <c r="A801">
        <v>50800</v>
      </c>
      <c r="B801">
        <v>3066</v>
      </c>
      <c r="C801">
        <v>2012</v>
      </c>
      <c r="D801" s="7">
        <v>46169</v>
      </c>
      <c r="E801" t="s">
        <v>212</v>
      </c>
      <c r="F801" t="s">
        <v>214</v>
      </c>
      <c r="H801" s="7">
        <v>46176</v>
      </c>
      <c r="I801" t="s">
        <v>217</v>
      </c>
    </row>
    <row r="802" spans="1:9">
      <c r="A802">
        <v>50801</v>
      </c>
      <c r="B802">
        <v>3066</v>
      </c>
      <c r="C802">
        <v>2012</v>
      </c>
      <c r="D802" s="7">
        <v>46169</v>
      </c>
      <c r="E802" t="s">
        <v>219</v>
      </c>
      <c r="F802" t="s">
        <v>202</v>
      </c>
      <c r="G802">
        <v>30</v>
      </c>
      <c r="H802" s="7">
        <v>46172</v>
      </c>
      <c r="I802" t="s">
        <v>211</v>
      </c>
    </row>
    <row r="803" spans="1:9">
      <c r="A803">
        <v>50802</v>
      </c>
      <c r="B803">
        <v>3066</v>
      </c>
      <c r="C803">
        <v>2012</v>
      </c>
      <c r="D803" s="7">
        <v>46170</v>
      </c>
      <c r="E803" t="s">
        <v>204</v>
      </c>
      <c r="F803" t="s">
        <v>202</v>
      </c>
      <c r="G803">
        <v>15</v>
      </c>
      <c r="H803" s="7">
        <v>46173</v>
      </c>
      <c r="I803" t="s">
        <v>209</v>
      </c>
    </row>
    <row r="804" spans="1:9">
      <c r="A804">
        <v>50803</v>
      </c>
      <c r="B804">
        <v>3066</v>
      </c>
      <c r="C804">
        <v>2012</v>
      </c>
      <c r="D804" s="7">
        <v>46170</v>
      </c>
      <c r="E804" t="s">
        <v>201</v>
      </c>
      <c r="F804" t="s">
        <v>215</v>
      </c>
      <c r="G804">
        <v>10</v>
      </c>
      <c r="H804" s="7">
        <v>46177</v>
      </c>
      <c r="I804" t="s">
        <v>206</v>
      </c>
    </row>
    <row r="805" spans="1:9">
      <c r="A805">
        <v>50804</v>
      </c>
      <c r="B805">
        <v>3066</v>
      </c>
      <c r="C805">
        <v>2012</v>
      </c>
      <c r="D805" s="7">
        <v>46171</v>
      </c>
      <c r="E805" t="s">
        <v>219</v>
      </c>
      <c r="F805" t="s">
        <v>214</v>
      </c>
      <c r="H805" s="7">
        <v>46201</v>
      </c>
      <c r="I805" t="s">
        <v>217</v>
      </c>
    </row>
    <row r="806" spans="1:9">
      <c r="A806">
        <v>50805</v>
      </c>
      <c r="B806">
        <v>3066</v>
      </c>
      <c r="C806">
        <v>2012</v>
      </c>
      <c r="D806" s="7">
        <v>46172</v>
      </c>
      <c r="E806" t="s">
        <v>212</v>
      </c>
      <c r="F806" t="s">
        <v>218</v>
      </c>
      <c r="H806" s="7"/>
      <c r="I806" t="s">
        <v>206</v>
      </c>
    </row>
    <row r="807" spans="1:9">
      <c r="A807">
        <v>50806</v>
      </c>
      <c r="B807">
        <v>3066</v>
      </c>
      <c r="C807">
        <v>2012</v>
      </c>
      <c r="D807" s="7">
        <v>46182</v>
      </c>
      <c r="E807" t="s">
        <v>212</v>
      </c>
      <c r="F807" t="s">
        <v>213</v>
      </c>
      <c r="H807" s="7">
        <v>46185</v>
      </c>
      <c r="I807" t="s">
        <v>216</v>
      </c>
    </row>
    <row r="808" spans="1:9">
      <c r="A808">
        <v>50807</v>
      </c>
      <c r="B808">
        <v>3066</v>
      </c>
      <c r="C808">
        <v>2012</v>
      </c>
      <c r="D808" s="7">
        <v>46182</v>
      </c>
      <c r="E808" t="s">
        <v>201</v>
      </c>
      <c r="F808" t="s">
        <v>218</v>
      </c>
      <c r="H808" s="7"/>
      <c r="I808" t="s">
        <v>203</v>
      </c>
    </row>
    <row r="809" spans="1:9">
      <c r="A809">
        <v>50808</v>
      </c>
      <c r="B809">
        <v>3066</v>
      </c>
      <c r="C809">
        <v>2012</v>
      </c>
      <c r="D809" s="7">
        <v>46184</v>
      </c>
      <c r="E809" t="s">
        <v>204</v>
      </c>
      <c r="F809" t="s">
        <v>214</v>
      </c>
      <c r="H809" s="7">
        <v>46214</v>
      </c>
      <c r="I809" t="s">
        <v>217</v>
      </c>
    </row>
    <row r="810" spans="1:9">
      <c r="A810">
        <v>50809</v>
      </c>
      <c r="B810">
        <v>3066</v>
      </c>
      <c r="C810">
        <v>2012</v>
      </c>
      <c r="D810" s="7">
        <v>46184</v>
      </c>
      <c r="E810" t="s">
        <v>219</v>
      </c>
      <c r="F810" t="s">
        <v>215</v>
      </c>
      <c r="G810">
        <v>45</v>
      </c>
      <c r="H810" s="7">
        <v>46198</v>
      </c>
      <c r="I810" t="s">
        <v>203</v>
      </c>
    </row>
    <row r="811" spans="1:9">
      <c r="A811">
        <v>50810</v>
      </c>
      <c r="B811">
        <v>3067</v>
      </c>
      <c r="C811">
        <v>2018</v>
      </c>
      <c r="D811" s="7">
        <v>46195</v>
      </c>
      <c r="E811" t="s">
        <v>212</v>
      </c>
      <c r="F811" t="s">
        <v>213</v>
      </c>
      <c r="H811" s="7"/>
      <c r="I811" t="s">
        <v>209</v>
      </c>
    </row>
    <row r="812" spans="1:9">
      <c r="A812">
        <v>50811</v>
      </c>
      <c r="B812">
        <v>3067</v>
      </c>
      <c r="C812">
        <v>2018</v>
      </c>
      <c r="D812" s="7">
        <v>46205</v>
      </c>
      <c r="E812" t="s">
        <v>219</v>
      </c>
      <c r="F812" t="s">
        <v>202</v>
      </c>
      <c r="G812">
        <v>90</v>
      </c>
      <c r="H812" s="7">
        <v>46208</v>
      </c>
      <c r="I812" t="s">
        <v>203</v>
      </c>
    </row>
    <row r="813" spans="1:9">
      <c r="A813">
        <v>50812</v>
      </c>
      <c r="B813">
        <v>3067</v>
      </c>
      <c r="C813">
        <v>2018</v>
      </c>
      <c r="D813" s="7">
        <v>46210</v>
      </c>
      <c r="E813" t="s">
        <v>204</v>
      </c>
      <c r="F813" t="s">
        <v>202</v>
      </c>
      <c r="G813">
        <v>15</v>
      </c>
      <c r="H813" s="7"/>
      <c r="I813" t="s">
        <v>207</v>
      </c>
    </row>
    <row r="814" spans="1:9">
      <c r="A814">
        <v>50813</v>
      </c>
      <c r="B814">
        <v>3067</v>
      </c>
      <c r="C814">
        <v>2018</v>
      </c>
      <c r="D814" s="7">
        <v>46211</v>
      </c>
      <c r="E814" t="s">
        <v>210</v>
      </c>
      <c r="F814" t="s">
        <v>214</v>
      </c>
      <c r="H814" s="7">
        <v>46214</v>
      </c>
      <c r="I814" t="s">
        <v>211</v>
      </c>
    </row>
    <row r="815" spans="1:9">
      <c r="A815">
        <v>50814</v>
      </c>
      <c r="B815">
        <v>3067</v>
      </c>
      <c r="C815">
        <v>2018</v>
      </c>
      <c r="D815" s="7">
        <v>46211</v>
      </c>
      <c r="E815" t="s">
        <v>210</v>
      </c>
      <c r="F815" t="s">
        <v>214</v>
      </c>
      <c r="H815" s="7"/>
      <c r="I815" t="s">
        <v>217</v>
      </c>
    </row>
    <row r="816" spans="1:9">
      <c r="A816">
        <v>50815</v>
      </c>
      <c r="B816">
        <v>3067</v>
      </c>
      <c r="C816">
        <v>2018</v>
      </c>
      <c r="D816" s="7">
        <v>46213</v>
      </c>
      <c r="E816" t="s">
        <v>201</v>
      </c>
      <c r="F816" t="s">
        <v>202</v>
      </c>
      <c r="G816">
        <v>60</v>
      </c>
      <c r="H816" s="7"/>
      <c r="I816" t="s">
        <v>209</v>
      </c>
    </row>
    <row r="817" spans="1:9">
      <c r="A817">
        <v>50816</v>
      </c>
      <c r="B817">
        <v>3068</v>
      </c>
      <c r="C817">
        <v>2006</v>
      </c>
      <c r="D817" s="7">
        <v>45756</v>
      </c>
      <c r="E817" t="s">
        <v>204</v>
      </c>
      <c r="F817" t="s">
        <v>215</v>
      </c>
      <c r="G817">
        <v>30</v>
      </c>
      <c r="H817" s="7">
        <v>45770</v>
      </c>
      <c r="I817" t="s">
        <v>216</v>
      </c>
    </row>
    <row r="818" spans="1:9">
      <c r="A818">
        <v>50817</v>
      </c>
      <c r="B818">
        <v>3068</v>
      </c>
      <c r="C818">
        <v>2006</v>
      </c>
      <c r="D818" s="7">
        <v>45816</v>
      </c>
      <c r="E818" t="s">
        <v>219</v>
      </c>
      <c r="F818" t="s">
        <v>213</v>
      </c>
      <c r="H818" s="7">
        <v>45823</v>
      </c>
      <c r="I818" t="s">
        <v>206</v>
      </c>
    </row>
    <row r="819" spans="1:9">
      <c r="A819">
        <v>50818</v>
      </c>
      <c r="B819">
        <v>3068</v>
      </c>
      <c r="C819">
        <v>2006</v>
      </c>
      <c r="D819" s="7">
        <v>45935</v>
      </c>
      <c r="E819" t="s">
        <v>210</v>
      </c>
      <c r="F819" t="s">
        <v>205</v>
      </c>
      <c r="H819" s="7"/>
      <c r="I819" t="s">
        <v>209</v>
      </c>
    </row>
    <row r="820" spans="1:9">
      <c r="A820">
        <v>50819</v>
      </c>
      <c r="B820">
        <v>3068</v>
      </c>
      <c r="C820">
        <v>2006</v>
      </c>
      <c r="D820" s="7">
        <v>46034</v>
      </c>
      <c r="E820" t="s">
        <v>212</v>
      </c>
      <c r="F820" t="s">
        <v>202</v>
      </c>
      <c r="G820">
        <v>30</v>
      </c>
      <c r="H820" s="7">
        <v>46037</v>
      </c>
      <c r="I820" t="s">
        <v>211</v>
      </c>
    </row>
    <row r="821" spans="1:9">
      <c r="A821">
        <v>50820</v>
      </c>
      <c r="B821">
        <v>3068</v>
      </c>
      <c r="C821">
        <v>2006</v>
      </c>
      <c r="D821" s="7">
        <v>46119</v>
      </c>
      <c r="E821" t="s">
        <v>212</v>
      </c>
      <c r="F821" t="s">
        <v>202</v>
      </c>
      <c r="G821">
        <v>15</v>
      </c>
      <c r="H821" s="7">
        <v>46149</v>
      </c>
      <c r="I821" t="s">
        <v>207</v>
      </c>
    </row>
    <row r="822" spans="1:9">
      <c r="A822">
        <v>50821</v>
      </c>
      <c r="B822">
        <v>3068</v>
      </c>
      <c r="C822">
        <v>2006</v>
      </c>
      <c r="D822" s="7">
        <v>46120</v>
      </c>
      <c r="E822" t="s">
        <v>212</v>
      </c>
      <c r="F822" t="s">
        <v>214</v>
      </c>
      <c r="H822" s="7">
        <v>46150</v>
      </c>
      <c r="I822" t="s">
        <v>217</v>
      </c>
    </row>
    <row r="823" spans="1:9">
      <c r="A823">
        <v>50822</v>
      </c>
      <c r="B823">
        <v>3068</v>
      </c>
      <c r="C823">
        <v>2006</v>
      </c>
      <c r="D823" s="7">
        <v>46149</v>
      </c>
      <c r="E823" t="s">
        <v>208</v>
      </c>
      <c r="F823" t="s">
        <v>213</v>
      </c>
      <c r="H823" s="7">
        <v>46152</v>
      </c>
      <c r="I823" t="s">
        <v>211</v>
      </c>
    </row>
    <row r="824" spans="1:9">
      <c r="A824">
        <v>50823</v>
      </c>
      <c r="B824">
        <v>3068</v>
      </c>
      <c r="C824">
        <v>2006</v>
      </c>
      <c r="D824" s="7">
        <v>46149</v>
      </c>
      <c r="E824" t="s">
        <v>210</v>
      </c>
      <c r="F824" t="s">
        <v>202</v>
      </c>
      <c r="G824">
        <v>45</v>
      </c>
      <c r="H824" s="7">
        <v>46156</v>
      </c>
      <c r="I824" t="s">
        <v>207</v>
      </c>
    </row>
    <row r="825" spans="1:9">
      <c r="A825">
        <v>50824</v>
      </c>
      <c r="B825">
        <v>3068</v>
      </c>
      <c r="C825">
        <v>2006</v>
      </c>
      <c r="D825" s="7">
        <v>46157</v>
      </c>
      <c r="E825" t="s">
        <v>204</v>
      </c>
      <c r="F825" t="s">
        <v>215</v>
      </c>
      <c r="G825">
        <v>60</v>
      </c>
      <c r="H825" s="7">
        <v>46164</v>
      </c>
      <c r="I825" t="s">
        <v>216</v>
      </c>
    </row>
    <row r="826" spans="1:9">
      <c r="A826">
        <v>50825</v>
      </c>
      <c r="B826">
        <v>3068</v>
      </c>
      <c r="C826">
        <v>2006</v>
      </c>
      <c r="D826" s="7">
        <v>46165</v>
      </c>
      <c r="E826" t="s">
        <v>210</v>
      </c>
      <c r="F826" t="s">
        <v>213</v>
      </c>
      <c r="H826" s="7">
        <v>46186</v>
      </c>
      <c r="I826" t="s">
        <v>216</v>
      </c>
    </row>
    <row r="827" spans="1:9">
      <c r="A827">
        <v>50826</v>
      </c>
      <c r="B827">
        <v>3068</v>
      </c>
      <c r="C827">
        <v>2006</v>
      </c>
      <c r="D827" s="7">
        <v>46177</v>
      </c>
      <c r="E827" t="s">
        <v>210</v>
      </c>
      <c r="F827" t="s">
        <v>214</v>
      </c>
      <c r="H827" s="7">
        <v>46207</v>
      </c>
      <c r="I827" t="s">
        <v>207</v>
      </c>
    </row>
    <row r="828" spans="1:9">
      <c r="A828">
        <v>50827</v>
      </c>
      <c r="B828">
        <v>3068</v>
      </c>
      <c r="C828">
        <v>2006</v>
      </c>
      <c r="D828" s="7">
        <v>46180</v>
      </c>
      <c r="E828" t="s">
        <v>201</v>
      </c>
      <c r="F828" t="s">
        <v>213</v>
      </c>
      <c r="H828" s="7">
        <v>46187</v>
      </c>
      <c r="I828" t="s">
        <v>211</v>
      </c>
    </row>
    <row r="829" spans="1:9">
      <c r="A829">
        <v>50828</v>
      </c>
      <c r="B829">
        <v>3069</v>
      </c>
      <c r="C829">
        <v>2013</v>
      </c>
      <c r="D829" s="7">
        <v>45589</v>
      </c>
      <c r="E829" t="s">
        <v>210</v>
      </c>
      <c r="F829" t="s">
        <v>214</v>
      </c>
      <c r="H829" s="7">
        <v>45592</v>
      </c>
      <c r="I829" t="s">
        <v>207</v>
      </c>
    </row>
    <row r="830" spans="1:9">
      <c r="A830">
        <v>50829</v>
      </c>
      <c r="B830">
        <v>3069</v>
      </c>
      <c r="C830">
        <v>2013</v>
      </c>
      <c r="D830" s="7">
        <v>45777</v>
      </c>
      <c r="E830" t="s">
        <v>212</v>
      </c>
      <c r="F830" t="s">
        <v>205</v>
      </c>
      <c r="H830" s="7"/>
      <c r="I830" t="s">
        <v>206</v>
      </c>
    </row>
    <row r="831" spans="1:9">
      <c r="A831">
        <v>50830</v>
      </c>
      <c r="B831">
        <v>3069</v>
      </c>
      <c r="C831">
        <v>2013</v>
      </c>
      <c r="D831" s="7">
        <v>45890</v>
      </c>
      <c r="E831" t="s">
        <v>204</v>
      </c>
      <c r="F831" t="s">
        <v>215</v>
      </c>
      <c r="G831">
        <v>60</v>
      </c>
      <c r="H831" s="7">
        <v>45897</v>
      </c>
      <c r="I831" t="s">
        <v>206</v>
      </c>
    </row>
    <row r="832" spans="1:9">
      <c r="A832">
        <v>50831</v>
      </c>
      <c r="B832">
        <v>3069</v>
      </c>
      <c r="C832">
        <v>2013</v>
      </c>
      <c r="D832" s="7">
        <v>45920</v>
      </c>
      <c r="E832" t="s">
        <v>212</v>
      </c>
      <c r="F832" t="s">
        <v>205</v>
      </c>
      <c r="H832" s="7"/>
      <c r="I832" t="s">
        <v>217</v>
      </c>
    </row>
    <row r="833" spans="1:9">
      <c r="A833">
        <v>50832</v>
      </c>
      <c r="B833">
        <v>3069</v>
      </c>
      <c r="C833">
        <v>2013</v>
      </c>
      <c r="D833" s="7">
        <v>45934</v>
      </c>
      <c r="E833" t="s">
        <v>210</v>
      </c>
      <c r="F833" t="s">
        <v>205</v>
      </c>
      <c r="H833" s="7"/>
      <c r="I833" t="s">
        <v>206</v>
      </c>
    </row>
    <row r="834" spans="1:9">
      <c r="A834">
        <v>50833</v>
      </c>
      <c r="B834">
        <v>3069</v>
      </c>
      <c r="C834">
        <v>2013</v>
      </c>
      <c r="D834" s="7">
        <v>46018</v>
      </c>
      <c r="E834" t="s">
        <v>201</v>
      </c>
      <c r="F834" t="s">
        <v>202</v>
      </c>
      <c r="G834">
        <v>90</v>
      </c>
      <c r="H834" s="7">
        <v>46039</v>
      </c>
      <c r="I834" t="s">
        <v>207</v>
      </c>
    </row>
    <row r="835" spans="1:9">
      <c r="A835">
        <v>50834</v>
      </c>
      <c r="B835">
        <v>3069</v>
      </c>
      <c r="C835">
        <v>2013</v>
      </c>
      <c r="D835" s="7">
        <v>46041</v>
      </c>
      <c r="E835" t="s">
        <v>212</v>
      </c>
      <c r="F835" t="s">
        <v>215</v>
      </c>
      <c r="G835">
        <v>10</v>
      </c>
      <c r="H835" s="7">
        <v>46071</v>
      </c>
      <c r="I835" t="s">
        <v>209</v>
      </c>
    </row>
    <row r="836" spans="1:9">
      <c r="A836">
        <v>50835</v>
      </c>
      <c r="B836">
        <v>3069</v>
      </c>
      <c r="C836">
        <v>2013</v>
      </c>
      <c r="D836" s="7">
        <v>46214</v>
      </c>
      <c r="E836" t="s">
        <v>201</v>
      </c>
      <c r="F836" t="s">
        <v>202</v>
      </c>
      <c r="G836">
        <v>20</v>
      </c>
      <c r="H836" s="7"/>
      <c r="I836" t="s">
        <v>207</v>
      </c>
    </row>
    <row r="837" spans="1:9">
      <c r="A837">
        <v>50836</v>
      </c>
      <c r="B837">
        <v>3070</v>
      </c>
      <c r="C837">
        <v>2012</v>
      </c>
      <c r="D837" s="7">
        <v>45999</v>
      </c>
      <c r="E837" t="s">
        <v>201</v>
      </c>
      <c r="F837" t="s">
        <v>202</v>
      </c>
      <c r="G837">
        <v>45</v>
      </c>
      <c r="H837" s="7">
        <v>46006</v>
      </c>
      <c r="I837" t="s">
        <v>211</v>
      </c>
    </row>
    <row r="838" spans="1:9">
      <c r="A838">
        <v>50837</v>
      </c>
      <c r="B838">
        <v>3070</v>
      </c>
      <c r="C838">
        <v>2012</v>
      </c>
      <c r="D838" s="7">
        <v>46005</v>
      </c>
      <c r="E838" t="s">
        <v>204</v>
      </c>
      <c r="F838" t="s">
        <v>214</v>
      </c>
      <c r="H838" s="7">
        <v>46019</v>
      </c>
      <c r="I838" t="s">
        <v>203</v>
      </c>
    </row>
    <row r="839" spans="1:9">
      <c r="A839">
        <v>50838</v>
      </c>
      <c r="B839">
        <v>3070</v>
      </c>
      <c r="C839">
        <v>2012</v>
      </c>
      <c r="D839" s="7">
        <v>46019</v>
      </c>
      <c r="E839" t="s">
        <v>210</v>
      </c>
      <c r="F839" t="s">
        <v>205</v>
      </c>
      <c r="H839" s="7"/>
      <c r="I839" t="s">
        <v>217</v>
      </c>
    </row>
    <row r="840" spans="1:9">
      <c r="A840">
        <v>50839</v>
      </c>
      <c r="B840">
        <v>3070</v>
      </c>
      <c r="C840">
        <v>2012</v>
      </c>
      <c r="D840" s="7">
        <v>46025</v>
      </c>
      <c r="E840" t="s">
        <v>201</v>
      </c>
      <c r="F840" t="s">
        <v>202</v>
      </c>
      <c r="G840">
        <v>45</v>
      </c>
      <c r="H840" s="7">
        <v>46039</v>
      </c>
      <c r="I840" t="s">
        <v>211</v>
      </c>
    </row>
    <row r="841" spans="1:9">
      <c r="A841">
        <v>50840</v>
      </c>
      <c r="B841">
        <v>3070</v>
      </c>
      <c r="C841">
        <v>2012</v>
      </c>
      <c r="D841" s="7">
        <v>46037</v>
      </c>
      <c r="E841" t="s">
        <v>219</v>
      </c>
      <c r="F841" t="s">
        <v>214</v>
      </c>
      <c r="H841" s="7">
        <v>46051</v>
      </c>
      <c r="I841" t="s">
        <v>211</v>
      </c>
    </row>
    <row r="842" spans="1:9">
      <c r="A842">
        <v>50841</v>
      </c>
      <c r="B842">
        <v>3070</v>
      </c>
      <c r="C842">
        <v>2012</v>
      </c>
      <c r="D842" s="7">
        <v>46042</v>
      </c>
      <c r="E842" t="s">
        <v>210</v>
      </c>
      <c r="F842" t="s">
        <v>214</v>
      </c>
      <c r="H842" s="7">
        <v>46063</v>
      </c>
      <c r="I842" t="s">
        <v>217</v>
      </c>
    </row>
    <row r="843" spans="1:9">
      <c r="A843">
        <v>50842</v>
      </c>
      <c r="B843">
        <v>3070</v>
      </c>
      <c r="C843">
        <v>2012</v>
      </c>
      <c r="D843" s="7">
        <v>46061</v>
      </c>
      <c r="E843" t="s">
        <v>204</v>
      </c>
      <c r="F843" t="s">
        <v>205</v>
      </c>
      <c r="H843" s="7"/>
      <c r="I843" t="s">
        <v>209</v>
      </c>
    </row>
    <row r="844" spans="1:9">
      <c r="A844">
        <v>50843</v>
      </c>
      <c r="B844">
        <v>3070</v>
      </c>
      <c r="C844">
        <v>2012</v>
      </c>
      <c r="D844" s="7">
        <v>46066</v>
      </c>
      <c r="E844" t="s">
        <v>201</v>
      </c>
      <c r="F844" t="s">
        <v>202</v>
      </c>
      <c r="G844">
        <v>20</v>
      </c>
      <c r="H844" s="7">
        <v>46069</v>
      </c>
      <c r="I844" t="s">
        <v>207</v>
      </c>
    </row>
    <row r="845" spans="1:9">
      <c r="A845">
        <v>50844</v>
      </c>
      <c r="B845">
        <v>3070</v>
      </c>
      <c r="C845">
        <v>2012</v>
      </c>
      <c r="D845" s="7">
        <v>46085</v>
      </c>
      <c r="E845" t="s">
        <v>210</v>
      </c>
      <c r="F845" t="s">
        <v>205</v>
      </c>
      <c r="H845" s="7"/>
      <c r="I845" t="s">
        <v>209</v>
      </c>
    </row>
    <row r="846" spans="1:9">
      <c r="A846">
        <v>50845</v>
      </c>
      <c r="B846">
        <v>3070</v>
      </c>
      <c r="C846">
        <v>2012</v>
      </c>
      <c r="D846" s="7">
        <v>46101</v>
      </c>
      <c r="E846" t="s">
        <v>208</v>
      </c>
      <c r="F846" t="s">
        <v>215</v>
      </c>
      <c r="G846">
        <v>90</v>
      </c>
      <c r="H846" s="7">
        <v>46115</v>
      </c>
      <c r="I846" t="s">
        <v>203</v>
      </c>
    </row>
    <row r="847" spans="1:9">
      <c r="A847">
        <v>50846</v>
      </c>
      <c r="B847">
        <v>3070</v>
      </c>
      <c r="C847">
        <v>2012</v>
      </c>
      <c r="D847" s="7">
        <v>46112</v>
      </c>
      <c r="E847" t="s">
        <v>201</v>
      </c>
      <c r="F847" t="s">
        <v>202</v>
      </c>
      <c r="G847">
        <v>15</v>
      </c>
      <c r="H847" s="7">
        <v>46126</v>
      </c>
      <c r="I847" t="s">
        <v>211</v>
      </c>
    </row>
    <row r="848" spans="1:9">
      <c r="A848">
        <v>50847</v>
      </c>
      <c r="B848">
        <v>3070</v>
      </c>
      <c r="C848">
        <v>2012</v>
      </c>
      <c r="D848" s="7">
        <v>46119</v>
      </c>
      <c r="E848" t="s">
        <v>212</v>
      </c>
      <c r="F848" t="s">
        <v>213</v>
      </c>
      <c r="H848" s="7">
        <v>46140</v>
      </c>
      <c r="I848" t="s">
        <v>209</v>
      </c>
    </row>
    <row r="849" spans="1:9">
      <c r="A849">
        <v>50848</v>
      </c>
      <c r="B849">
        <v>3070</v>
      </c>
      <c r="C849">
        <v>2012</v>
      </c>
      <c r="D849" s="7">
        <v>46128</v>
      </c>
      <c r="E849" t="s">
        <v>204</v>
      </c>
      <c r="F849" t="s">
        <v>213</v>
      </c>
      <c r="H849" s="7">
        <v>46149</v>
      </c>
      <c r="I849" t="s">
        <v>217</v>
      </c>
    </row>
    <row r="850" spans="1:9">
      <c r="A850">
        <v>50849</v>
      </c>
      <c r="B850">
        <v>3070</v>
      </c>
      <c r="C850">
        <v>2012</v>
      </c>
      <c r="D850" s="7">
        <v>46128</v>
      </c>
      <c r="E850" t="s">
        <v>219</v>
      </c>
      <c r="F850" t="s">
        <v>215</v>
      </c>
      <c r="G850">
        <v>10</v>
      </c>
      <c r="H850" s="7">
        <v>46135</v>
      </c>
      <c r="I850" t="s">
        <v>203</v>
      </c>
    </row>
    <row r="851" spans="1:9">
      <c r="A851">
        <v>50850</v>
      </c>
      <c r="B851">
        <v>3070</v>
      </c>
      <c r="C851">
        <v>2012</v>
      </c>
      <c r="D851" s="7">
        <v>46140</v>
      </c>
      <c r="E851" t="s">
        <v>219</v>
      </c>
      <c r="F851" t="s">
        <v>214</v>
      </c>
      <c r="H851" s="7">
        <v>46161</v>
      </c>
      <c r="I851" t="s">
        <v>206</v>
      </c>
    </row>
    <row r="852" spans="1:9">
      <c r="A852">
        <v>50851</v>
      </c>
      <c r="B852">
        <v>3070</v>
      </c>
      <c r="C852">
        <v>2012</v>
      </c>
      <c r="D852" s="7">
        <v>46145</v>
      </c>
      <c r="E852" t="s">
        <v>212</v>
      </c>
      <c r="F852" t="s">
        <v>214</v>
      </c>
      <c r="H852" s="7">
        <v>46166</v>
      </c>
      <c r="I852" t="s">
        <v>206</v>
      </c>
    </row>
    <row r="853" spans="1:9">
      <c r="A853">
        <v>50852</v>
      </c>
      <c r="B853">
        <v>3070</v>
      </c>
      <c r="C853">
        <v>2012</v>
      </c>
      <c r="D853" s="7">
        <v>46176</v>
      </c>
      <c r="E853" t="s">
        <v>219</v>
      </c>
      <c r="F853" t="s">
        <v>202</v>
      </c>
      <c r="G853">
        <v>60</v>
      </c>
      <c r="H853" s="7">
        <v>46206</v>
      </c>
      <c r="I853" t="s">
        <v>209</v>
      </c>
    </row>
    <row r="854" spans="1:9">
      <c r="A854">
        <v>50853</v>
      </c>
      <c r="B854">
        <v>3070</v>
      </c>
      <c r="C854">
        <v>2012</v>
      </c>
      <c r="D854" s="7">
        <v>46193</v>
      </c>
      <c r="E854" t="s">
        <v>210</v>
      </c>
      <c r="F854" t="s">
        <v>215</v>
      </c>
      <c r="G854">
        <v>30</v>
      </c>
      <c r="H854" s="7">
        <v>46196</v>
      </c>
      <c r="I854" t="s">
        <v>209</v>
      </c>
    </row>
    <row r="855" spans="1:9">
      <c r="A855">
        <v>50854</v>
      </c>
      <c r="B855">
        <v>3070</v>
      </c>
      <c r="C855">
        <v>2012</v>
      </c>
      <c r="D855" s="7">
        <v>46212</v>
      </c>
      <c r="E855" t="s">
        <v>212</v>
      </c>
      <c r="F855" t="s">
        <v>202</v>
      </c>
      <c r="G855">
        <v>30</v>
      </c>
      <c r="H855" s="7"/>
      <c r="I855" t="s">
        <v>207</v>
      </c>
    </row>
    <row r="856" spans="1:9">
      <c r="A856">
        <v>50855</v>
      </c>
      <c r="B856">
        <v>3070</v>
      </c>
      <c r="C856">
        <v>2012</v>
      </c>
      <c r="D856" s="7">
        <v>46213</v>
      </c>
      <c r="E856" t="s">
        <v>201</v>
      </c>
      <c r="F856" t="s">
        <v>202</v>
      </c>
      <c r="G856">
        <v>15</v>
      </c>
      <c r="H856" s="7"/>
      <c r="I856" t="s">
        <v>216</v>
      </c>
    </row>
    <row r="857" spans="1:9">
      <c r="A857">
        <v>50856</v>
      </c>
      <c r="B857">
        <v>3071</v>
      </c>
      <c r="C857">
        <v>2015</v>
      </c>
      <c r="D857" s="7">
        <v>45924</v>
      </c>
      <c r="E857" t="s">
        <v>212</v>
      </c>
      <c r="F857" t="s">
        <v>202</v>
      </c>
      <c r="G857">
        <v>60</v>
      </c>
      <c r="H857" s="7">
        <v>45931</v>
      </c>
      <c r="I857" t="s">
        <v>206</v>
      </c>
    </row>
    <row r="858" spans="1:9">
      <c r="A858">
        <v>50857</v>
      </c>
      <c r="B858">
        <v>3071</v>
      </c>
      <c r="C858">
        <v>2015</v>
      </c>
      <c r="D858" s="7">
        <v>45948</v>
      </c>
      <c r="E858" t="s">
        <v>201</v>
      </c>
      <c r="F858" t="s">
        <v>202</v>
      </c>
      <c r="G858">
        <v>15</v>
      </c>
      <c r="H858" s="7">
        <v>45978</v>
      </c>
      <c r="I858" t="s">
        <v>203</v>
      </c>
    </row>
    <row r="859" spans="1:9">
      <c r="A859">
        <v>50858</v>
      </c>
      <c r="B859">
        <v>3071</v>
      </c>
      <c r="C859">
        <v>2015</v>
      </c>
      <c r="D859" s="7">
        <v>45955</v>
      </c>
      <c r="E859" t="s">
        <v>201</v>
      </c>
      <c r="F859" t="s">
        <v>202</v>
      </c>
      <c r="G859">
        <v>20</v>
      </c>
      <c r="H859" s="7">
        <v>45969</v>
      </c>
      <c r="I859" t="s">
        <v>203</v>
      </c>
    </row>
    <row r="860" spans="1:9">
      <c r="A860">
        <v>50859</v>
      </c>
      <c r="B860">
        <v>3071</v>
      </c>
      <c r="C860">
        <v>2015</v>
      </c>
      <c r="D860" s="7">
        <v>45967</v>
      </c>
      <c r="E860" t="s">
        <v>201</v>
      </c>
      <c r="F860" t="s">
        <v>202</v>
      </c>
      <c r="G860">
        <v>90</v>
      </c>
      <c r="H860" s="7">
        <v>45988</v>
      </c>
      <c r="I860" t="s">
        <v>203</v>
      </c>
    </row>
    <row r="861" spans="1:9">
      <c r="A861">
        <v>50860</v>
      </c>
      <c r="B861">
        <v>3071</v>
      </c>
      <c r="C861">
        <v>2015</v>
      </c>
      <c r="D861" s="7">
        <v>45970</v>
      </c>
      <c r="E861" t="s">
        <v>212</v>
      </c>
      <c r="F861" t="s">
        <v>202</v>
      </c>
      <c r="G861">
        <v>20</v>
      </c>
      <c r="H861" s="7">
        <v>46000</v>
      </c>
      <c r="I861" t="s">
        <v>209</v>
      </c>
    </row>
    <row r="862" spans="1:9">
      <c r="A862">
        <v>50861</v>
      </c>
      <c r="B862">
        <v>3071</v>
      </c>
      <c r="C862">
        <v>2015</v>
      </c>
      <c r="D862" s="7">
        <v>46006</v>
      </c>
      <c r="E862" t="s">
        <v>201</v>
      </c>
      <c r="F862" t="s">
        <v>202</v>
      </c>
      <c r="G862">
        <v>20</v>
      </c>
      <c r="H862" s="7">
        <v>46036</v>
      </c>
      <c r="I862" t="s">
        <v>207</v>
      </c>
    </row>
    <row r="863" spans="1:9">
      <c r="A863">
        <v>50862</v>
      </c>
      <c r="B863">
        <v>3071</v>
      </c>
      <c r="C863">
        <v>2015</v>
      </c>
      <c r="D863" s="7">
        <v>46011</v>
      </c>
      <c r="E863" t="s">
        <v>210</v>
      </c>
      <c r="F863" t="s">
        <v>214</v>
      </c>
      <c r="H863" s="7">
        <v>46032</v>
      </c>
      <c r="I863" t="s">
        <v>217</v>
      </c>
    </row>
    <row r="864" spans="1:9">
      <c r="A864">
        <v>50863</v>
      </c>
      <c r="B864">
        <v>3071</v>
      </c>
      <c r="C864">
        <v>2015</v>
      </c>
      <c r="D864" s="7">
        <v>46084</v>
      </c>
      <c r="E864" t="s">
        <v>212</v>
      </c>
      <c r="F864" t="s">
        <v>213</v>
      </c>
      <c r="H864" s="7">
        <v>46087</v>
      </c>
      <c r="I864" t="s">
        <v>203</v>
      </c>
    </row>
    <row r="865" spans="1:9">
      <c r="A865">
        <v>50864</v>
      </c>
      <c r="B865">
        <v>3071</v>
      </c>
      <c r="C865">
        <v>2015</v>
      </c>
      <c r="D865" s="7">
        <v>46103</v>
      </c>
      <c r="E865" t="s">
        <v>204</v>
      </c>
      <c r="F865" t="s">
        <v>202</v>
      </c>
      <c r="G865">
        <v>20</v>
      </c>
      <c r="H865" s="7">
        <v>46124</v>
      </c>
      <c r="I865" t="s">
        <v>216</v>
      </c>
    </row>
    <row r="866" spans="1:9">
      <c r="A866">
        <v>50865</v>
      </c>
      <c r="B866">
        <v>3071</v>
      </c>
      <c r="C866">
        <v>2015</v>
      </c>
      <c r="D866" s="7">
        <v>46132</v>
      </c>
      <c r="E866" t="s">
        <v>212</v>
      </c>
      <c r="F866" t="s">
        <v>214</v>
      </c>
      <c r="H866" s="7">
        <v>46153</v>
      </c>
      <c r="I866" t="s">
        <v>203</v>
      </c>
    </row>
    <row r="867" spans="1:9">
      <c r="A867">
        <v>50866</v>
      </c>
      <c r="B867">
        <v>3071</v>
      </c>
      <c r="C867">
        <v>2015</v>
      </c>
      <c r="D867" s="7">
        <v>46151</v>
      </c>
      <c r="E867" t="s">
        <v>204</v>
      </c>
      <c r="F867" t="s">
        <v>214</v>
      </c>
      <c r="H867" s="7">
        <v>46154</v>
      </c>
      <c r="I867" t="s">
        <v>209</v>
      </c>
    </row>
    <row r="868" spans="1:9">
      <c r="A868">
        <v>50867</v>
      </c>
      <c r="B868">
        <v>3071</v>
      </c>
      <c r="C868">
        <v>2015</v>
      </c>
      <c r="D868" s="7">
        <v>46170</v>
      </c>
      <c r="E868" t="s">
        <v>204</v>
      </c>
      <c r="F868" t="s">
        <v>214</v>
      </c>
      <c r="H868" s="7">
        <v>46200</v>
      </c>
      <c r="I868" t="s">
        <v>211</v>
      </c>
    </row>
    <row r="869" spans="1:9">
      <c r="A869">
        <v>50868</v>
      </c>
      <c r="B869">
        <v>3071</v>
      </c>
      <c r="C869">
        <v>2015</v>
      </c>
      <c r="D869" s="7">
        <v>46185</v>
      </c>
      <c r="E869" t="s">
        <v>212</v>
      </c>
      <c r="F869" t="s">
        <v>215</v>
      </c>
      <c r="G869">
        <v>20</v>
      </c>
      <c r="H869" s="7">
        <v>46192</v>
      </c>
      <c r="I869" t="s">
        <v>206</v>
      </c>
    </row>
    <row r="870" spans="1:9">
      <c r="A870">
        <v>50869</v>
      </c>
      <c r="B870">
        <v>3071</v>
      </c>
      <c r="C870">
        <v>2015</v>
      </c>
      <c r="D870" s="7">
        <v>46188</v>
      </c>
      <c r="E870" t="s">
        <v>201</v>
      </c>
      <c r="F870" t="s">
        <v>202</v>
      </c>
      <c r="G870">
        <v>60</v>
      </c>
      <c r="H870" s="7">
        <v>46195</v>
      </c>
      <c r="I870" t="s">
        <v>207</v>
      </c>
    </row>
    <row r="871" spans="1:9">
      <c r="A871">
        <v>50870</v>
      </c>
      <c r="B871">
        <v>3071</v>
      </c>
      <c r="C871">
        <v>2015</v>
      </c>
      <c r="D871" s="7">
        <v>46205</v>
      </c>
      <c r="E871" t="s">
        <v>219</v>
      </c>
      <c r="F871" t="s">
        <v>215</v>
      </c>
      <c r="G871">
        <v>10</v>
      </c>
      <c r="H871" s="7">
        <v>46208</v>
      </c>
      <c r="I871" t="s">
        <v>203</v>
      </c>
    </row>
    <row r="872" spans="1:9">
      <c r="A872">
        <v>50871</v>
      </c>
      <c r="B872">
        <v>3071</v>
      </c>
      <c r="C872">
        <v>2015</v>
      </c>
      <c r="D872" s="7">
        <v>46213</v>
      </c>
      <c r="E872" t="s">
        <v>210</v>
      </c>
      <c r="F872" t="s">
        <v>218</v>
      </c>
      <c r="H872" s="7"/>
      <c r="I872" t="s">
        <v>203</v>
      </c>
    </row>
    <row r="873" spans="1:9">
      <c r="A873">
        <v>50872</v>
      </c>
      <c r="B873">
        <v>3072</v>
      </c>
      <c r="C873">
        <v>2008</v>
      </c>
      <c r="D873" s="7">
        <v>45655</v>
      </c>
      <c r="E873" t="s">
        <v>201</v>
      </c>
      <c r="F873" t="s">
        <v>202</v>
      </c>
      <c r="G873">
        <v>10</v>
      </c>
      <c r="H873" s="7">
        <v>45669</v>
      </c>
      <c r="I873" t="s">
        <v>209</v>
      </c>
    </row>
    <row r="874" spans="1:9">
      <c r="A874">
        <v>50873</v>
      </c>
      <c r="B874">
        <v>3072</v>
      </c>
      <c r="C874">
        <v>2008</v>
      </c>
      <c r="D874" s="7">
        <v>45675</v>
      </c>
      <c r="E874" t="s">
        <v>212</v>
      </c>
      <c r="F874" t="s">
        <v>218</v>
      </c>
      <c r="H874" s="7"/>
      <c r="I874" t="s">
        <v>217</v>
      </c>
    </row>
    <row r="875" spans="1:9">
      <c r="A875">
        <v>50874</v>
      </c>
      <c r="B875">
        <v>3072</v>
      </c>
      <c r="C875">
        <v>2008</v>
      </c>
      <c r="D875" s="7">
        <v>45677</v>
      </c>
      <c r="E875" t="s">
        <v>208</v>
      </c>
      <c r="F875" t="s">
        <v>202</v>
      </c>
      <c r="G875">
        <v>60</v>
      </c>
      <c r="H875" s="7">
        <v>45691</v>
      </c>
      <c r="I875" t="s">
        <v>217</v>
      </c>
    </row>
    <row r="876" spans="1:9">
      <c r="A876">
        <v>50875</v>
      </c>
      <c r="B876">
        <v>3072</v>
      </c>
      <c r="C876">
        <v>2008</v>
      </c>
      <c r="D876" s="7">
        <v>45696</v>
      </c>
      <c r="E876" t="s">
        <v>201</v>
      </c>
      <c r="F876" t="s">
        <v>218</v>
      </c>
      <c r="H876" s="7"/>
      <c r="I876" t="s">
        <v>211</v>
      </c>
    </row>
    <row r="877" spans="1:9">
      <c r="A877">
        <v>50876</v>
      </c>
      <c r="B877">
        <v>3072</v>
      </c>
      <c r="C877">
        <v>2008</v>
      </c>
      <c r="D877" s="7">
        <v>45803</v>
      </c>
      <c r="E877" t="s">
        <v>212</v>
      </c>
      <c r="F877" t="s">
        <v>214</v>
      </c>
      <c r="H877" s="7">
        <v>45810</v>
      </c>
      <c r="I877" t="s">
        <v>216</v>
      </c>
    </row>
    <row r="878" spans="1:9">
      <c r="A878">
        <v>50877</v>
      </c>
      <c r="B878">
        <v>3072</v>
      </c>
      <c r="C878">
        <v>2008</v>
      </c>
      <c r="D878" s="7">
        <v>45809</v>
      </c>
      <c r="E878" t="s">
        <v>219</v>
      </c>
      <c r="F878" t="s">
        <v>202</v>
      </c>
      <c r="G878">
        <v>10</v>
      </c>
      <c r="H878" s="7">
        <v>45816</v>
      </c>
      <c r="I878" t="s">
        <v>203</v>
      </c>
    </row>
    <row r="879" spans="1:9">
      <c r="A879">
        <v>50878</v>
      </c>
      <c r="B879">
        <v>3072</v>
      </c>
      <c r="C879">
        <v>2008</v>
      </c>
      <c r="D879" s="7">
        <v>45849</v>
      </c>
      <c r="E879" t="s">
        <v>210</v>
      </c>
      <c r="F879" t="s">
        <v>214</v>
      </c>
      <c r="H879" s="7">
        <v>45879</v>
      </c>
      <c r="I879" t="s">
        <v>211</v>
      </c>
    </row>
    <row r="880" spans="1:9">
      <c r="A880">
        <v>50879</v>
      </c>
      <c r="B880">
        <v>3072</v>
      </c>
      <c r="C880">
        <v>2008</v>
      </c>
      <c r="D880" s="7">
        <v>45899</v>
      </c>
      <c r="E880" t="s">
        <v>201</v>
      </c>
      <c r="F880" t="s">
        <v>202</v>
      </c>
      <c r="G880">
        <v>90</v>
      </c>
      <c r="H880" s="7">
        <v>45913</v>
      </c>
      <c r="I880" t="s">
        <v>211</v>
      </c>
    </row>
    <row r="881" spans="1:9">
      <c r="A881">
        <v>50880</v>
      </c>
      <c r="B881">
        <v>3072</v>
      </c>
      <c r="C881">
        <v>2008</v>
      </c>
      <c r="D881" s="7">
        <v>45904</v>
      </c>
      <c r="E881" t="s">
        <v>201</v>
      </c>
      <c r="F881" t="s">
        <v>202</v>
      </c>
      <c r="G881">
        <v>90</v>
      </c>
      <c r="H881" s="7">
        <v>45911</v>
      </c>
      <c r="I881" t="s">
        <v>206</v>
      </c>
    </row>
    <row r="882" spans="1:9">
      <c r="A882">
        <v>50881</v>
      </c>
      <c r="B882">
        <v>3072</v>
      </c>
      <c r="C882">
        <v>2008</v>
      </c>
      <c r="D882" s="7">
        <v>45963</v>
      </c>
      <c r="E882" t="s">
        <v>212</v>
      </c>
      <c r="F882" t="s">
        <v>202</v>
      </c>
      <c r="G882">
        <v>20</v>
      </c>
      <c r="H882" s="7">
        <v>45977</v>
      </c>
      <c r="I882" t="s">
        <v>209</v>
      </c>
    </row>
    <row r="883" spans="1:9">
      <c r="A883">
        <v>50882</v>
      </c>
      <c r="B883">
        <v>3072</v>
      </c>
      <c r="C883">
        <v>2008</v>
      </c>
      <c r="D883" s="7">
        <v>46001</v>
      </c>
      <c r="E883" t="s">
        <v>212</v>
      </c>
      <c r="F883" t="s">
        <v>202</v>
      </c>
      <c r="G883">
        <v>90</v>
      </c>
      <c r="H883" s="7">
        <v>46031</v>
      </c>
      <c r="I883" t="s">
        <v>207</v>
      </c>
    </row>
    <row r="884" spans="1:9">
      <c r="A884">
        <v>50883</v>
      </c>
      <c r="B884">
        <v>3072</v>
      </c>
      <c r="C884">
        <v>2008</v>
      </c>
      <c r="D884" s="7">
        <v>46008</v>
      </c>
      <c r="E884" t="s">
        <v>212</v>
      </c>
      <c r="F884" t="s">
        <v>202</v>
      </c>
      <c r="G884">
        <v>10</v>
      </c>
      <c r="H884" s="7">
        <v>46022</v>
      </c>
      <c r="I884" t="s">
        <v>211</v>
      </c>
    </row>
    <row r="885" spans="1:9">
      <c r="A885">
        <v>50884</v>
      </c>
      <c r="B885">
        <v>3072</v>
      </c>
      <c r="C885">
        <v>2008</v>
      </c>
      <c r="D885" s="7">
        <v>46027</v>
      </c>
      <c r="E885" t="s">
        <v>204</v>
      </c>
      <c r="F885" t="s">
        <v>205</v>
      </c>
      <c r="H885" s="7"/>
      <c r="I885" t="s">
        <v>203</v>
      </c>
    </row>
    <row r="886" spans="1:9">
      <c r="A886">
        <v>50885</v>
      </c>
      <c r="B886">
        <v>3072</v>
      </c>
      <c r="C886">
        <v>2008</v>
      </c>
      <c r="D886" s="7">
        <v>46076</v>
      </c>
      <c r="E886" t="s">
        <v>212</v>
      </c>
      <c r="F886" t="s">
        <v>202</v>
      </c>
      <c r="G886">
        <v>20</v>
      </c>
      <c r="H886" s="7">
        <v>46083</v>
      </c>
      <c r="I886" t="s">
        <v>209</v>
      </c>
    </row>
    <row r="887" spans="1:9">
      <c r="A887">
        <v>50886</v>
      </c>
      <c r="B887">
        <v>3072</v>
      </c>
      <c r="C887">
        <v>2008</v>
      </c>
      <c r="D887" s="7">
        <v>46121</v>
      </c>
      <c r="E887" t="s">
        <v>204</v>
      </c>
      <c r="F887" t="s">
        <v>202</v>
      </c>
      <c r="G887">
        <v>30</v>
      </c>
      <c r="H887" s="7">
        <v>46128</v>
      </c>
      <c r="I887" t="s">
        <v>209</v>
      </c>
    </row>
    <row r="888" spans="1:9">
      <c r="A888">
        <v>50887</v>
      </c>
      <c r="B888">
        <v>3073</v>
      </c>
      <c r="C888">
        <v>2008</v>
      </c>
      <c r="D888" s="7">
        <v>45480</v>
      </c>
      <c r="E888" t="s">
        <v>204</v>
      </c>
      <c r="F888" t="s">
        <v>218</v>
      </c>
      <c r="H888" s="7"/>
      <c r="I888" t="s">
        <v>209</v>
      </c>
    </row>
    <row r="889" spans="1:9">
      <c r="A889">
        <v>50888</v>
      </c>
      <c r="B889">
        <v>3073</v>
      </c>
      <c r="C889">
        <v>2008</v>
      </c>
      <c r="D889" s="7">
        <v>45574</v>
      </c>
      <c r="E889" t="s">
        <v>212</v>
      </c>
      <c r="F889" t="s">
        <v>202</v>
      </c>
      <c r="G889">
        <v>30</v>
      </c>
      <c r="H889" s="7">
        <v>45577</v>
      </c>
      <c r="I889" t="s">
        <v>207</v>
      </c>
    </row>
    <row r="890" spans="1:9">
      <c r="A890">
        <v>50889</v>
      </c>
      <c r="B890">
        <v>3073</v>
      </c>
      <c r="C890">
        <v>2008</v>
      </c>
      <c r="D890" s="7">
        <v>45647</v>
      </c>
      <c r="E890" t="s">
        <v>210</v>
      </c>
      <c r="F890" t="s">
        <v>213</v>
      </c>
      <c r="H890" s="7">
        <v>45668</v>
      </c>
      <c r="I890" t="s">
        <v>203</v>
      </c>
    </row>
    <row r="891" spans="1:9">
      <c r="A891">
        <v>50890</v>
      </c>
      <c r="B891">
        <v>3073</v>
      </c>
      <c r="C891">
        <v>2008</v>
      </c>
      <c r="D891" s="7">
        <v>45718</v>
      </c>
      <c r="E891" t="s">
        <v>210</v>
      </c>
      <c r="F891" t="s">
        <v>213</v>
      </c>
      <c r="H891" s="7">
        <v>45739</v>
      </c>
      <c r="I891" t="s">
        <v>217</v>
      </c>
    </row>
    <row r="892" spans="1:9">
      <c r="A892">
        <v>50891</v>
      </c>
      <c r="B892">
        <v>3073</v>
      </c>
      <c r="C892">
        <v>2008</v>
      </c>
      <c r="D892" s="7">
        <v>45772</v>
      </c>
      <c r="E892" t="s">
        <v>219</v>
      </c>
      <c r="F892" t="s">
        <v>214</v>
      </c>
      <c r="H892" s="7">
        <v>45775</v>
      </c>
      <c r="I892" t="s">
        <v>211</v>
      </c>
    </row>
    <row r="893" spans="1:9">
      <c r="A893">
        <v>50892</v>
      </c>
      <c r="B893">
        <v>3073</v>
      </c>
      <c r="C893">
        <v>2008</v>
      </c>
      <c r="D893" s="7">
        <v>45931</v>
      </c>
      <c r="E893" t="s">
        <v>212</v>
      </c>
      <c r="F893" t="s">
        <v>202</v>
      </c>
      <c r="G893">
        <v>90</v>
      </c>
      <c r="H893" s="7">
        <v>45961</v>
      </c>
      <c r="I893" t="s">
        <v>207</v>
      </c>
    </row>
    <row r="894" spans="1:9">
      <c r="A894">
        <v>50893</v>
      </c>
      <c r="B894">
        <v>3073</v>
      </c>
      <c r="C894">
        <v>2008</v>
      </c>
      <c r="D894" s="7">
        <v>45977</v>
      </c>
      <c r="E894" t="s">
        <v>208</v>
      </c>
      <c r="F894" t="s">
        <v>218</v>
      </c>
      <c r="H894" s="7"/>
      <c r="I894" t="s">
        <v>209</v>
      </c>
    </row>
    <row r="895" spans="1:9">
      <c r="A895">
        <v>50894</v>
      </c>
      <c r="B895">
        <v>3073</v>
      </c>
      <c r="C895">
        <v>2008</v>
      </c>
      <c r="D895" s="7">
        <v>45994</v>
      </c>
      <c r="E895" t="s">
        <v>204</v>
      </c>
      <c r="F895" t="s">
        <v>202</v>
      </c>
      <c r="G895">
        <v>90</v>
      </c>
      <c r="H895" s="7">
        <v>46001</v>
      </c>
      <c r="I895" t="s">
        <v>209</v>
      </c>
    </row>
    <row r="896" spans="1:9">
      <c r="A896">
        <v>50895</v>
      </c>
      <c r="B896">
        <v>3073</v>
      </c>
      <c r="C896">
        <v>2008</v>
      </c>
      <c r="D896" s="7">
        <v>46063</v>
      </c>
      <c r="E896" t="s">
        <v>204</v>
      </c>
      <c r="F896" t="s">
        <v>202</v>
      </c>
      <c r="G896">
        <v>20</v>
      </c>
      <c r="H896" s="7">
        <v>46077</v>
      </c>
      <c r="I896" t="s">
        <v>211</v>
      </c>
    </row>
    <row r="897" spans="1:9">
      <c r="A897">
        <v>50896</v>
      </c>
      <c r="B897">
        <v>3073</v>
      </c>
      <c r="C897">
        <v>2008</v>
      </c>
      <c r="D897" s="7">
        <v>46120</v>
      </c>
      <c r="E897" t="s">
        <v>210</v>
      </c>
      <c r="F897" t="s">
        <v>214</v>
      </c>
      <c r="H897" s="7">
        <v>46123</v>
      </c>
      <c r="I897" t="s">
        <v>207</v>
      </c>
    </row>
    <row r="898" spans="1:9">
      <c r="A898">
        <v>50897</v>
      </c>
      <c r="B898">
        <v>3073</v>
      </c>
      <c r="C898">
        <v>2008</v>
      </c>
      <c r="D898" s="7">
        <v>46123</v>
      </c>
      <c r="E898" t="s">
        <v>201</v>
      </c>
      <c r="F898" t="s">
        <v>202</v>
      </c>
      <c r="G898">
        <v>20</v>
      </c>
      <c r="H898" s="7">
        <v>46130</v>
      </c>
      <c r="I898" t="s">
        <v>217</v>
      </c>
    </row>
    <row r="899" spans="1:9">
      <c r="A899">
        <v>50898</v>
      </c>
      <c r="B899">
        <v>3073</v>
      </c>
      <c r="C899">
        <v>2008</v>
      </c>
      <c r="D899" s="7">
        <v>46135</v>
      </c>
      <c r="E899" t="s">
        <v>212</v>
      </c>
      <c r="F899" t="s">
        <v>202</v>
      </c>
      <c r="G899">
        <v>90</v>
      </c>
      <c r="H899" s="7">
        <v>46156</v>
      </c>
      <c r="I899" t="s">
        <v>209</v>
      </c>
    </row>
    <row r="900" spans="1:9">
      <c r="A900">
        <v>50899</v>
      </c>
      <c r="B900">
        <v>3073</v>
      </c>
      <c r="C900">
        <v>2008</v>
      </c>
      <c r="D900" s="7">
        <v>46157</v>
      </c>
      <c r="E900" t="s">
        <v>210</v>
      </c>
      <c r="F900" t="s">
        <v>215</v>
      </c>
      <c r="G900">
        <v>15</v>
      </c>
      <c r="H900" s="7">
        <v>46178</v>
      </c>
      <c r="I900" t="s">
        <v>209</v>
      </c>
    </row>
    <row r="901" spans="1:9">
      <c r="A901">
        <v>50900</v>
      </c>
      <c r="B901">
        <v>3073</v>
      </c>
      <c r="C901">
        <v>2008</v>
      </c>
      <c r="D901" s="7">
        <v>46192</v>
      </c>
      <c r="E901" t="s">
        <v>219</v>
      </c>
      <c r="F901" t="s">
        <v>215</v>
      </c>
      <c r="G901">
        <v>30</v>
      </c>
      <c r="H901" s="7">
        <v>46213</v>
      </c>
      <c r="I901" t="s">
        <v>209</v>
      </c>
    </row>
    <row r="902" spans="1:9">
      <c r="A902">
        <v>50901</v>
      </c>
      <c r="B902">
        <v>3073</v>
      </c>
      <c r="C902">
        <v>2008</v>
      </c>
      <c r="D902" s="7">
        <v>46208</v>
      </c>
      <c r="E902" t="s">
        <v>212</v>
      </c>
      <c r="F902" t="s">
        <v>215</v>
      </c>
      <c r="G902">
        <v>30</v>
      </c>
      <c r="H902" s="7"/>
      <c r="I902" t="s">
        <v>203</v>
      </c>
    </row>
    <row r="903" spans="1:9">
      <c r="A903">
        <v>50902</v>
      </c>
      <c r="B903">
        <v>3074</v>
      </c>
      <c r="C903">
        <v>2005</v>
      </c>
      <c r="D903" s="7">
        <v>45347</v>
      </c>
      <c r="E903" t="s">
        <v>212</v>
      </c>
      <c r="F903" t="s">
        <v>214</v>
      </c>
      <c r="H903" s="7">
        <v>45354</v>
      </c>
      <c r="I903" t="s">
        <v>207</v>
      </c>
    </row>
    <row r="904" spans="1:9">
      <c r="A904">
        <v>50903</v>
      </c>
      <c r="B904">
        <v>3074</v>
      </c>
      <c r="C904">
        <v>2005</v>
      </c>
      <c r="D904" s="7">
        <v>45490</v>
      </c>
      <c r="E904" t="s">
        <v>219</v>
      </c>
      <c r="F904" t="s">
        <v>202</v>
      </c>
      <c r="G904">
        <v>90</v>
      </c>
      <c r="H904" s="7">
        <v>45520</v>
      </c>
      <c r="I904" t="s">
        <v>216</v>
      </c>
    </row>
    <row r="905" spans="1:9">
      <c r="A905">
        <v>50904</v>
      </c>
      <c r="B905">
        <v>3074</v>
      </c>
      <c r="C905">
        <v>2005</v>
      </c>
      <c r="D905" s="7">
        <v>45507</v>
      </c>
      <c r="E905" t="s">
        <v>219</v>
      </c>
      <c r="F905" t="s">
        <v>213</v>
      </c>
      <c r="H905" s="7">
        <v>45510</v>
      </c>
      <c r="I905" t="s">
        <v>211</v>
      </c>
    </row>
    <row r="906" spans="1:9">
      <c r="A906">
        <v>50905</v>
      </c>
      <c r="B906">
        <v>3074</v>
      </c>
      <c r="C906">
        <v>2005</v>
      </c>
      <c r="D906" s="7">
        <v>45510</v>
      </c>
      <c r="E906" t="s">
        <v>204</v>
      </c>
      <c r="F906" t="s">
        <v>202</v>
      </c>
      <c r="G906">
        <v>10</v>
      </c>
      <c r="H906" s="7">
        <v>45531</v>
      </c>
      <c r="I906" t="s">
        <v>211</v>
      </c>
    </row>
    <row r="907" spans="1:9">
      <c r="A907">
        <v>50906</v>
      </c>
      <c r="B907">
        <v>3074</v>
      </c>
      <c r="C907">
        <v>2005</v>
      </c>
      <c r="D907" s="7">
        <v>45603</v>
      </c>
      <c r="E907" t="s">
        <v>208</v>
      </c>
      <c r="F907" t="s">
        <v>202</v>
      </c>
      <c r="G907">
        <v>20</v>
      </c>
      <c r="H907" s="7">
        <v>45617</v>
      </c>
      <c r="I907" t="s">
        <v>203</v>
      </c>
    </row>
    <row r="908" spans="1:9">
      <c r="A908">
        <v>50907</v>
      </c>
      <c r="B908">
        <v>3074</v>
      </c>
      <c r="C908">
        <v>2005</v>
      </c>
      <c r="D908" s="7">
        <v>45700</v>
      </c>
      <c r="E908" t="s">
        <v>212</v>
      </c>
      <c r="F908" t="s">
        <v>202</v>
      </c>
      <c r="G908">
        <v>15</v>
      </c>
      <c r="H908" s="7">
        <v>45707</v>
      </c>
      <c r="I908" t="s">
        <v>217</v>
      </c>
    </row>
    <row r="909" spans="1:9">
      <c r="A909">
        <v>50908</v>
      </c>
      <c r="B909">
        <v>3074</v>
      </c>
      <c r="C909">
        <v>2005</v>
      </c>
      <c r="D909" s="7">
        <v>45725</v>
      </c>
      <c r="E909" t="s">
        <v>204</v>
      </c>
      <c r="F909" t="s">
        <v>202</v>
      </c>
      <c r="G909">
        <v>15</v>
      </c>
      <c r="H909" s="7">
        <v>45739</v>
      </c>
      <c r="I909" t="s">
        <v>211</v>
      </c>
    </row>
    <row r="910" spans="1:9">
      <c r="A910">
        <v>50909</v>
      </c>
      <c r="B910">
        <v>3074</v>
      </c>
      <c r="C910">
        <v>2005</v>
      </c>
      <c r="D910" s="7">
        <v>45759</v>
      </c>
      <c r="E910" t="s">
        <v>219</v>
      </c>
      <c r="F910" t="s">
        <v>213</v>
      </c>
      <c r="H910" s="7">
        <v>45789</v>
      </c>
      <c r="I910" t="s">
        <v>206</v>
      </c>
    </row>
    <row r="911" spans="1:9">
      <c r="A911">
        <v>50910</v>
      </c>
      <c r="B911">
        <v>3074</v>
      </c>
      <c r="C911">
        <v>2005</v>
      </c>
      <c r="D911" s="7">
        <v>45829</v>
      </c>
      <c r="E911" t="s">
        <v>212</v>
      </c>
      <c r="F911" t="s">
        <v>205</v>
      </c>
      <c r="H911" s="7"/>
      <c r="I911" t="s">
        <v>217</v>
      </c>
    </row>
    <row r="912" spans="1:9">
      <c r="A912">
        <v>50911</v>
      </c>
      <c r="B912">
        <v>3074</v>
      </c>
      <c r="C912">
        <v>2005</v>
      </c>
      <c r="D912" s="7">
        <v>45843</v>
      </c>
      <c r="E912" t="s">
        <v>204</v>
      </c>
      <c r="F912" t="s">
        <v>218</v>
      </c>
      <c r="H912" s="7"/>
      <c r="I912" t="s">
        <v>211</v>
      </c>
    </row>
    <row r="913" spans="1:9">
      <c r="A913">
        <v>50912</v>
      </c>
      <c r="B913">
        <v>3074</v>
      </c>
      <c r="C913">
        <v>2005</v>
      </c>
      <c r="D913" s="7">
        <v>45912</v>
      </c>
      <c r="E913" t="s">
        <v>212</v>
      </c>
      <c r="F913" t="s">
        <v>202</v>
      </c>
      <c r="G913">
        <v>45</v>
      </c>
      <c r="H913" s="7">
        <v>45919</v>
      </c>
      <c r="I913" t="s">
        <v>203</v>
      </c>
    </row>
    <row r="914" spans="1:9">
      <c r="A914">
        <v>50913</v>
      </c>
      <c r="B914">
        <v>3075</v>
      </c>
      <c r="C914">
        <v>2011</v>
      </c>
      <c r="D914" s="7">
        <v>46050</v>
      </c>
      <c r="E914" t="s">
        <v>212</v>
      </c>
      <c r="F914" t="s">
        <v>202</v>
      </c>
      <c r="G914">
        <v>10</v>
      </c>
      <c r="H914" s="7">
        <v>46064</v>
      </c>
      <c r="I914" t="s">
        <v>207</v>
      </c>
    </row>
    <row r="915" spans="1:9">
      <c r="A915">
        <v>50914</v>
      </c>
      <c r="B915">
        <v>3075</v>
      </c>
      <c r="C915">
        <v>2011</v>
      </c>
      <c r="D915" s="7">
        <v>46067</v>
      </c>
      <c r="E915" t="s">
        <v>204</v>
      </c>
      <c r="F915" t="s">
        <v>202</v>
      </c>
      <c r="G915">
        <v>30</v>
      </c>
      <c r="H915" s="7">
        <v>46097</v>
      </c>
      <c r="I915" t="s">
        <v>209</v>
      </c>
    </row>
    <row r="916" spans="1:9">
      <c r="A916">
        <v>50915</v>
      </c>
      <c r="B916">
        <v>3075</v>
      </c>
      <c r="C916">
        <v>2011</v>
      </c>
      <c r="D916" s="7">
        <v>46078</v>
      </c>
      <c r="E916" t="s">
        <v>208</v>
      </c>
      <c r="F916" t="s">
        <v>202</v>
      </c>
      <c r="G916">
        <v>30</v>
      </c>
      <c r="H916" s="7">
        <v>46092</v>
      </c>
      <c r="I916" t="s">
        <v>203</v>
      </c>
    </row>
    <row r="917" spans="1:9">
      <c r="A917">
        <v>50916</v>
      </c>
      <c r="B917">
        <v>3075</v>
      </c>
      <c r="C917">
        <v>2011</v>
      </c>
      <c r="D917" s="7">
        <v>46084</v>
      </c>
      <c r="E917" t="s">
        <v>204</v>
      </c>
      <c r="F917" t="s">
        <v>202</v>
      </c>
      <c r="G917">
        <v>45</v>
      </c>
      <c r="H917" s="7">
        <v>46091</v>
      </c>
      <c r="I917" t="s">
        <v>217</v>
      </c>
    </row>
    <row r="918" spans="1:9">
      <c r="A918">
        <v>50917</v>
      </c>
      <c r="B918">
        <v>3075</v>
      </c>
      <c r="C918">
        <v>2011</v>
      </c>
      <c r="D918" s="7">
        <v>46087</v>
      </c>
      <c r="E918" t="s">
        <v>204</v>
      </c>
      <c r="F918" t="s">
        <v>214</v>
      </c>
      <c r="H918" s="7">
        <v>46117</v>
      </c>
      <c r="I918" t="s">
        <v>217</v>
      </c>
    </row>
    <row r="919" spans="1:9">
      <c r="A919">
        <v>50918</v>
      </c>
      <c r="B919">
        <v>3075</v>
      </c>
      <c r="C919">
        <v>2011</v>
      </c>
      <c r="D919" s="7">
        <v>46090</v>
      </c>
      <c r="E919" t="s">
        <v>204</v>
      </c>
      <c r="F919" t="s">
        <v>215</v>
      </c>
      <c r="G919">
        <v>60</v>
      </c>
      <c r="H919" s="7">
        <v>46120</v>
      </c>
      <c r="I919" t="s">
        <v>209</v>
      </c>
    </row>
    <row r="920" spans="1:9">
      <c r="A920">
        <v>50919</v>
      </c>
      <c r="B920">
        <v>3075</v>
      </c>
      <c r="C920">
        <v>2011</v>
      </c>
      <c r="D920" s="7">
        <v>46091</v>
      </c>
      <c r="E920" t="s">
        <v>210</v>
      </c>
      <c r="F920" t="s">
        <v>214</v>
      </c>
      <c r="H920" s="7">
        <v>46112</v>
      </c>
      <c r="I920" t="s">
        <v>203</v>
      </c>
    </row>
    <row r="921" spans="1:9">
      <c r="A921">
        <v>50920</v>
      </c>
      <c r="B921">
        <v>3075</v>
      </c>
      <c r="C921">
        <v>2011</v>
      </c>
      <c r="D921" s="7">
        <v>46097</v>
      </c>
      <c r="E921" t="s">
        <v>210</v>
      </c>
      <c r="F921" t="s">
        <v>218</v>
      </c>
      <c r="H921" s="7"/>
      <c r="I921" t="s">
        <v>206</v>
      </c>
    </row>
    <row r="922" spans="1:9">
      <c r="A922">
        <v>50921</v>
      </c>
      <c r="B922">
        <v>3075</v>
      </c>
      <c r="C922">
        <v>2011</v>
      </c>
      <c r="D922" s="7">
        <v>46114</v>
      </c>
      <c r="E922" t="s">
        <v>204</v>
      </c>
      <c r="F922" t="s">
        <v>214</v>
      </c>
      <c r="H922" s="7">
        <v>46144</v>
      </c>
      <c r="I922" t="s">
        <v>217</v>
      </c>
    </row>
    <row r="923" spans="1:9">
      <c r="A923">
        <v>50922</v>
      </c>
      <c r="B923">
        <v>3075</v>
      </c>
      <c r="C923">
        <v>2011</v>
      </c>
      <c r="D923" s="7">
        <v>46117</v>
      </c>
      <c r="E923" t="s">
        <v>212</v>
      </c>
      <c r="F923" t="s">
        <v>202</v>
      </c>
      <c r="G923">
        <v>45</v>
      </c>
      <c r="H923" s="7">
        <v>46120</v>
      </c>
      <c r="I923" t="s">
        <v>206</v>
      </c>
    </row>
    <row r="924" spans="1:9">
      <c r="A924">
        <v>50923</v>
      </c>
      <c r="B924">
        <v>3075</v>
      </c>
      <c r="C924">
        <v>2011</v>
      </c>
      <c r="D924" s="7">
        <v>46121</v>
      </c>
      <c r="E924" t="s">
        <v>219</v>
      </c>
      <c r="F924" t="s">
        <v>202</v>
      </c>
      <c r="G924">
        <v>60</v>
      </c>
      <c r="H924" s="7">
        <v>46142</v>
      </c>
      <c r="I924" t="s">
        <v>216</v>
      </c>
    </row>
    <row r="925" spans="1:9">
      <c r="A925">
        <v>50924</v>
      </c>
      <c r="B925">
        <v>3075</v>
      </c>
      <c r="C925">
        <v>2011</v>
      </c>
      <c r="D925" s="7">
        <v>46138</v>
      </c>
      <c r="E925" t="s">
        <v>201</v>
      </c>
      <c r="F925" t="s">
        <v>205</v>
      </c>
      <c r="H925" s="7"/>
      <c r="I925" t="s">
        <v>203</v>
      </c>
    </row>
    <row r="926" spans="1:9">
      <c r="A926">
        <v>50925</v>
      </c>
      <c r="B926">
        <v>3075</v>
      </c>
      <c r="C926">
        <v>2011</v>
      </c>
      <c r="D926" s="7">
        <v>46156</v>
      </c>
      <c r="E926" t="s">
        <v>219</v>
      </c>
      <c r="F926" t="s">
        <v>205</v>
      </c>
      <c r="H926" s="7"/>
      <c r="I926" t="s">
        <v>206</v>
      </c>
    </row>
    <row r="927" spans="1:9">
      <c r="A927">
        <v>50926</v>
      </c>
      <c r="B927">
        <v>3075</v>
      </c>
      <c r="C927">
        <v>2011</v>
      </c>
      <c r="D927" s="7">
        <v>46171</v>
      </c>
      <c r="E927" t="s">
        <v>210</v>
      </c>
      <c r="F927" t="s">
        <v>205</v>
      </c>
      <c r="H927" s="7"/>
      <c r="I927" t="s">
        <v>206</v>
      </c>
    </row>
    <row r="928" spans="1:9">
      <c r="A928">
        <v>50927</v>
      </c>
      <c r="B928">
        <v>3075</v>
      </c>
      <c r="C928">
        <v>2011</v>
      </c>
      <c r="D928" s="7">
        <v>46177</v>
      </c>
      <c r="E928" t="s">
        <v>208</v>
      </c>
      <c r="F928" t="s">
        <v>218</v>
      </c>
      <c r="H928" s="7"/>
      <c r="I928" t="s">
        <v>203</v>
      </c>
    </row>
    <row r="929" spans="1:9">
      <c r="A929">
        <v>50928</v>
      </c>
      <c r="B929">
        <v>3075</v>
      </c>
      <c r="C929">
        <v>2011</v>
      </c>
      <c r="D929" s="7">
        <v>46192</v>
      </c>
      <c r="E929" t="s">
        <v>212</v>
      </c>
      <c r="F929" t="s">
        <v>205</v>
      </c>
      <c r="H929" s="7"/>
      <c r="I929" t="s">
        <v>207</v>
      </c>
    </row>
    <row r="930" spans="1:9">
      <c r="A930">
        <v>50929</v>
      </c>
      <c r="B930">
        <v>3075</v>
      </c>
      <c r="C930">
        <v>2011</v>
      </c>
      <c r="D930" s="7">
        <v>46203</v>
      </c>
      <c r="E930" t="s">
        <v>212</v>
      </c>
      <c r="F930" t="s">
        <v>213</v>
      </c>
      <c r="H930" s="7"/>
      <c r="I930" t="s">
        <v>211</v>
      </c>
    </row>
    <row r="931" spans="1:9">
      <c r="A931">
        <v>50930</v>
      </c>
      <c r="B931">
        <v>3075</v>
      </c>
      <c r="C931">
        <v>2011</v>
      </c>
      <c r="D931" s="7">
        <v>46211</v>
      </c>
      <c r="E931" t="s">
        <v>204</v>
      </c>
      <c r="F931" t="s">
        <v>202</v>
      </c>
      <c r="G931">
        <v>90</v>
      </c>
      <c r="H931" s="7"/>
      <c r="I931" t="s">
        <v>206</v>
      </c>
    </row>
    <row r="932" spans="1:9">
      <c r="A932">
        <v>50931</v>
      </c>
      <c r="B932">
        <v>3076</v>
      </c>
      <c r="C932">
        <v>2012</v>
      </c>
      <c r="D932" s="7">
        <v>45293</v>
      </c>
      <c r="E932" t="s">
        <v>201</v>
      </c>
      <c r="F932" t="s">
        <v>202</v>
      </c>
      <c r="G932">
        <v>45</v>
      </c>
      <c r="H932" s="7">
        <v>45314</v>
      </c>
      <c r="I932" t="s">
        <v>216</v>
      </c>
    </row>
    <row r="933" spans="1:9">
      <c r="A933">
        <v>50932</v>
      </c>
      <c r="B933">
        <v>3076</v>
      </c>
      <c r="C933">
        <v>2012</v>
      </c>
      <c r="D933" s="7">
        <v>45408</v>
      </c>
      <c r="E933" t="s">
        <v>204</v>
      </c>
      <c r="F933" t="s">
        <v>215</v>
      </c>
      <c r="G933">
        <v>20</v>
      </c>
      <c r="H933" s="7">
        <v>45429</v>
      </c>
      <c r="I933" t="s">
        <v>216</v>
      </c>
    </row>
    <row r="934" spans="1:9">
      <c r="A934">
        <v>50933</v>
      </c>
      <c r="B934">
        <v>3076</v>
      </c>
      <c r="C934">
        <v>2012</v>
      </c>
      <c r="D934" s="7">
        <v>45487</v>
      </c>
      <c r="E934" t="s">
        <v>201</v>
      </c>
      <c r="F934" t="s">
        <v>205</v>
      </c>
      <c r="H934" s="7"/>
      <c r="I934" t="s">
        <v>216</v>
      </c>
    </row>
    <row r="935" spans="1:9">
      <c r="A935">
        <v>50934</v>
      </c>
      <c r="B935">
        <v>3076</v>
      </c>
      <c r="C935">
        <v>2012</v>
      </c>
      <c r="D935" s="7">
        <v>45497</v>
      </c>
      <c r="E935" t="s">
        <v>204</v>
      </c>
      <c r="F935" t="s">
        <v>202</v>
      </c>
      <c r="G935">
        <v>20</v>
      </c>
      <c r="H935" s="7">
        <v>45504</v>
      </c>
      <c r="I935" t="s">
        <v>206</v>
      </c>
    </row>
    <row r="936" spans="1:9">
      <c r="A936">
        <v>50935</v>
      </c>
      <c r="B936">
        <v>3076</v>
      </c>
      <c r="C936">
        <v>2012</v>
      </c>
      <c r="D936" s="7">
        <v>45629</v>
      </c>
      <c r="E936" t="s">
        <v>212</v>
      </c>
      <c r="F936" t="s">
        <v>214</v>
      </c>
      <c r="H936" s="7">
        <v>45650</v>
      </c>
      <c r="I936" t="s">
        <v>206</v>
      </c>
    </row>
    <row r="937" spans="1:9">
      <c r="A937">
        <v>50936</v>
      </c>
      <c r="B937">
        <v>3076</v>
      </c>
      <c r="C937">
        <v>2012</v>
      </c>
      <c r="D937" s="7">
        <v>45717</v>
      </c>
      <c r="E937" t="s">
        <v>212</v>
      </c>
      <c r="F937" t="s">
        <v>214</v>
      </c>
      <c r="H937" s="7">
        <v>45747</v>
      </c>
      <c r="I937" t="s">
        <v>211</v>
      </c>
    </row>
    <row r="938" spans="1:9">
      <c r="A938">
        <v>50937</v>
      </c>
      <c r="B938">
        <v>3076</v>
      </c>
      <c r="C938">
        <v>2012</v>
      </c>
      <c r="D938" s="7">
        <v>45748</v>
      </c>
      <c r="E938" t="s">
        <v>212</v>
      </c>
      <c r="F938" t="s">
        <v>218</v>
      </c>
      <c r="H938" s="7"/>
      <c r="I938" t="s">
        <v>211</v>
      </c>
    </row>
    <row r="939" spans="1:9">
      <c r="A939">
        <v>50938</v>
      </c>
      <c r="B939">
        <v>3076</v>
      </c>
      <c r="C939">
        <v>2012</v>
      </c>
      <c r="D939" s="7">
        <v>45835</v>
      </c>
      <c r="E939" t="s">
        <v>212</v>
      </c>
      <c r="F939" t="s">
        <v>202</v>
      </c>
      <c r="G939">
        <v>90</v>
      </c>
      <c r="H939" s="7">
        <v>45856</v>
      </c>
      <c r="I939" t="s">
        <v>207</v>
      </c>
    </row>
    <row r="940" spans="1:9">
      <c r="A940">
        <v>50939</v>
      </c>
      <c r="B940">
        <v>3076</v>
      </c>
      <c r="C940">
        <v>2012</v>
      </c>
      <c r="D940" s="7">
        <v>45841</v>
      </c>
      <c r="E940" t="s">
        <v>210</v>
      </c>
      <c r="F940" t="s">
        <v>213</v>
      </c>
      <c r="H940" s="7">
        <v>45855</v>
      </c>
      <c r="I940" t="s">
        <v>211</v>
      </c>
    </row>
    <row r="941" spans="1:9">
      <c r="A941">
        <v>50940</v>
      </c>
      <c r="B941">
        <v>3076</v>
      </c>
      <c r="C941">
        <v>2012</v>
      </c>
      <c r="D941" s="7">
        <v>45897</v>
      </c>
      <c r="E941" t="s">
        <v>201</v>
      </c>
      <c r="F941" t="s">
        <v>213</v>
      </c>
      <c r="H941" s="7">
        <v>45900</v>
      </c>
      <c r="I941" t="s">
        <v>207</v>
      </c>
    </row>
    <row r="942" spans="1:9">
      <c r="A942">
        <v>50941</v>
      </c>
      <c r="B942">
        <v>3076</v>
      </c>
      <c r="C942">
        <v>2012</v>
      </c>
      <c r="D942" s="7">
        <v>45991</v>
      </c>
      <c r="E942" t="s">
        <v>212</v>
      </c>
      <c r="F942" t="s">
        <v>202</v>
      </c>
      <c r="G942">
        <v>15</v>
      </c>
      <c r="H942" s="7">
        <v>46021</v>
      </c>
      <c r="I942" t="s">
        <v>211</v>
      </c>
    </row>
    <row r="943" spans="1:9">
      <c r="A943">
        <v>50942</v>
      </c>
      <c r="B943">
        <v>3076</v>
      </c>
      <c r="C943">
        <v>2012</v>
      </c>
      <c r="D943" s="7">
        <v>46002</v>
      </c>
      <c r="E943" t="s">
        <v>210</v>
      </c>
      <c r="F943" t="s">
        <v>205</v>
      </c>
      <c r="H943" s="7"/>
      <c r="I943" t="s">
        <v>206</v>
      </c>
    </row>
    <row r="944" spans="1:9">
      <c r="A944">
        <v>50943</v>
      </c>
      <c r="B944">
        <v>3076</v>
      </c>
      <c r="C944">
        <v>2012</v>
      </c>
      <c r="D944" s="7">
        <v>46006</v>
      </c>
      <c r="E944" t="s">
        <v>212</v>
      </c>
      <c r="F944" t="s">
        <v>215</v>
      </c>
      <c r="G944">
        <v>15</v>
      </c>
      <c r="H944" s="7">
        <v>46009</v>
      </c>
      <c r="I944" t="s">
        <v>207</v>
      </c>
    </row>
    <row r="945" spans="1:9">
      <c r="A945">
        <v>50944</v>
      </c>
      <c r="B945">
        <v>3077</v>
      </c>
      <c r="C945">
        <v>2017</v>
      </c>
      <c r="D945" s="7">
        <v>45272</v>
      </c>
      <c r="E945" t="s">
        <v>212</v>
      </c>
      <c r="F945" t="s">
        <v>202</v>
      </c>
      <c r="G945">
        <v>20</v>
      </c>
      <c r="H945" s="7">
        <v>45275</v>
      </c>
      <c r="I945" t="s">
        <v>216</v>
      </c>
    </row>
    <row r="946" spans="1:9">
      <c r="A946">
        <v>50945</v>
      </c>
      <c r="B946">
        <v>3077</v>
      </c>
      <c r="C946">
        <v>2017</v>
      </c>
      <c r="D946" s="7">
        <v>45480</v>
      </c>
      <c r="E946" t="s">
        <v>219</v>
      </c>
      <c r="F946" t="s">
        <v>202</v>
      </c>
      <c r="G946">
        <v>10</v>
      </c>
      <c r="H946" s="7">
        <v>45487</v>
      </c>
      <c r="I946" t="s">
        <v>211</v>
      </c>
    </row>
    <row r="947" spans="1:9">
      <c r="A947">
        <v>50946</v>
      </c>
      <c r="B947">
        <v>3077</v>
      </c>
      <c r="C947">
        <v>2017</v>
      </c>
      <c r="D947" s="7">
        <v>45568</v>
      </c>
      <c r="E947" t="s">
        <v>212</v>
      </c>
      <c r="F947" t="s">
        <v>214</v>
      </c>
      <c r="H947" s="7">
        <v>45575</v>
      </c>
      <c r="I947" t="s">
        <v>206</v>
      </c>
    </row>
    <row r="948" spans="1:9">
      <c r="A948">
        <v>50947</v>
      </c>
      <c r="B948">
        <v>3077</v>
      </c>
      <c r="C948">
        <v>2017</v>
      </c>
      <c r="D948" s="7">
        <v>45665</v>
      </c>
      <c r="E948" t="s">
        <v>201</v>
      </c>
      <c r="F948" t="s">
        <v>202</v>
      </c>
      <c r="G948">
        <v>30</v>
      </c>
      <c r="H948" s="7">
        <v>45679</v>
      </c>
      <c r="I948" t="s">
        <v>203</v>
      </c>
    </row>
    <row r="949" spans="1:9">
      <c r="A949">
        <v>50948</v>
      </c>
      <c r="B949">
        <v>3077</v>
      </c>
      <c r="C949">
        <v>2017</v>
      </c>
      <c r="D949" s="7">
        <v>45681</v>
      </c>
      <c r="E949" t="s">
        <v>212</v>
      </c>
      <c r="F949" t="s">
        <v>202</v>
      </c>
      <c r="G949">
        <v>90</v>
      </c>
      <c r="H949" s="7">
        <v>45695</v>
      </c>
      <c r="I949" t="s">
        <v>216</v>
      </c>
    </row>
    <row r="950" spans="1:9">
      <c r="A950">
        <v>50949</v>
      </c>
      <c r="B950">
        <v>3078</v>
      </c>
      <c r="C950">
        <v>2002</v>
      </c>
      <c r="D950" s="7">
        <v>45591</v>
      </c>
      <c r="E950" t="s">
        <v>212</v>
      </c>
      <c r="F950" t="s">
        <v>215</v>
      </c>
      <c r="G950">
        <v>20</v>
      </c>
      <c r="H950" s="7">
        <v>45612</v>
      </c>
      <c r="I950" t="s">
        <v>209</v>
      </c>
    </row>
    <row r="951" spans="1:9">
      <c r="A951">
        <v>50950</v>
      </c>
      <c r="B951">
        <v>3078</v>
      </c>
      <c r="C951">
        <v>2002</v>
      </c>
      <c r="D951" s="7">
        <v>45633</v>
      </c>
      <c r="E951" t="s">
        <v>208</v>
      </c>
      <c r="F951" t="s">
        <v>202</v>
      </c>
      <c r="G951">
        <v>90</v>
      </c>
      <c r="H951" s="7">
        <v>45663</v>
      </c>
      <c r="I951" t="s">
        <v>207</v>
      </c>
    </row>
    <row r="952" spans="1:9">
      <c r="A952">
        <v>50951</v>
      </c>
      <c r="B952">
        <v>3078</v>
      </c>
      <c r="C952">
        <v>2002</v>
      </c>
      <c r="D952" s="7">
        <v>45650</v>
      </c>
      <c r="E952" t="s">
        <v>204</v>
      </c>
      <c r="F952" t="s">
        <v>202</v>
      </c>
      <c r="G952">
        <v>15</v>
      </c>
      <c r="H952" s="7">
        <v>45671</v>
      </c>
      <c r="I952" t="s">
        <v>217</v>
      </c>
    </row>
    <row r="953" spans="1:9">
      <c r="A953">
        <v>50952</v>
      </c>
      <c r="B953">
        <v>3078</v>
      </c>
      <c r="C953">
        <v>2002</v>
      </c>
      <c r="D953" s="7">
        <v>45697</v>
      </c>
      <c r="E953" t="s">
        <v>212</v>
      </c>
      <c r="F953" t="s">
        <v>215</v>
      </c>
      <c r="G953">
        <v>90</v>
      </c>
      <c r="H953" s="7">
        <v>45704</v>
      </c>
      <c r="I953" t="s">
        <v>211</v>
      </c>
    </row>
    <row r="954" spans="1:9">
      <c r="A954">
        <v>50953</v>
      </c>
      <c r="B954">
        <v>3078</v>
      </c>
      <c r="C954">
        <v>2002</v>
      </c>
      <c r="D954" s="7">
        <v>45816</v>
      </c>
      <c r="E954" t="s">
        <v>212</v>
      </c>
      <c r="F954" t="s">
        <v>205</v>
      </c>
      <c r="H954" s="7"/>
      <c r="I954" t="s">
        <v>217</v>
      </c>
    </row>
    <row r="955" spans="1:9">
      <c r="A955">
        <v>50954</v>
      </c>
      <c r="B955">
        <v>3078</v>
      </c>
      <c r="C955">
        <v>2002</v>
      </c>
      <c r="D955" s="7">
        <v>45834</v>
      </c>
      <c r="E955" t="s">
        <v>204</v>
      </c>
      <c r="F955" t="s">
        <v>202</v>
      </c>
      <c r="G955">
        <v>20</v>
      </c>
      <c r="H955" s="7">
        <v>45855</v>
      </c>
      <c r="I955" t="s">
        <v>211</v>
      </c>
    </row>
    <row r="956" spans="1:9">
      <c r="A956">
        <v>50955</v>
      </c>
      <c r="B956">
        <v>3078</v>
      </c>
      <c r="C956">
        <v>2002</v>
      </c>
      <c r="D956" s="7">
        <v>45891</v>
      </c>
      <c r="E956" t="s">
        <v>219</v>
      </c>
      <c r="F956" t="s">
        <v>218</v>
      </c>
      <c r="H956" s="7"/>
      <c r="I956" t="s">
        <v>206</v>
      </c>
    </row>
    <row r="957" spans="1:9">
      <c r="A957">
        <v>50956</v>
      </c>
      <c r="B957">
        <v>3078</v>
      </c>
      <c r="C957">
        <v>2002</v>
      </c>
      <c r="D957" s="7">
        <v>45924</v>
      </c>
      <c r="E957" t="s">
        <v>219</v>
      </c>
      <c r="F957" t="s">
        <v>202</v>
      </c>
      <c r="G957">
        <v>20</v>
      </c>
      <c r="H957" s="7">
        <v>45954</v>
      </c>
      <c r="I957" t="s">
        <v>217</v>
      </c>
    </row>
    <row r="958" spans="1:9">
      <c r="A958">
        <v>50957</v>
      </c>
      <c r="B958">
        <v>3078</v>
      </c>
      <c r="C958">
        <v>2002</v>
      </c>
      <c r="D958" s="7">
        <v>45949</v>
      </c>
      <c r="E958" t="s">
        <v>210</v>
      </c>
      <c r="F958" t="s">
        <v>215</v>
      </c>
      <c r="G958">
        <v>15</v>
      </c>
      <c r="H958" s="7">
        <v>45970</v>
      </c>
      <c r="I958" t="s">
        <v>217</v>
      </c>
    </row>
    <row r="959" spans="1:9">
      <c r="A959">
        <v>50958</v>
      </c>
      <c r="B959">
        <v>3078</v>
      </c>
      <c r="C959">
        <v>2002</v>
      </c>
      <c r="D959" s="7">
        <v>46069</v>
      </c>
      <c r="E959" t="s">
        <v>212</v>
      </c>
      <c r="F959" t="s">
        <v>202</v>
      </c>
      <c r="G959">
        <v>45</v>
      </c>
      <c r="H959" s="7">
        <v>46083</v>
      </c>
      <c r="I959" t="s">
        <v>216</v>
      </c>
    </row>
    <row r="960" spans="1:9">
      <c r="A960">
        <v>50959</v>
      </c>
      <c r="B960">
        <v>3078</v>
      </c>
      <c r="C960">
        <v>2002</v>
      </c>
      <c r="D960" s="7">
        <v>46196</v>
      </c>
      <c r="E960" t="s">
        <v>212</v>
      </c>
      <c r="F960" t="s">
        <v>202</v>
      </c>
      <c r="G960">
        <v>90</v>
      </c>
      <c r="H960" s="7">
        <v>46210</v>
      </c>
      <c r="I960" t="s">
        <v>207</v>
      </c>
    </row>
    <row r="961" spans="1:9">
      <c r="A961">
        <v>50960</v>
      </c>
      <c r="B961">
        <v>3079</v>
      </c>
      <c r="C961">
        <v>2008</v>
      </c>
      <c r="D961" s="7">
        <v>45669</v>
      </c>
      <c r="E961" t="s">
        <v>210</v>
      </c>
      <c r="F961" t="s">
        <v>214</v>
      </c>
      <c r="H961" s="7">
        <v>45683</v>
      </c>
      <c r="I961" t="s">
        <v>217</v>
      </c>
    </row>
    <row r="962" spans="1:9">
      <c r="A962">
        <v>50961</v>
      </c>
      <c r="B962">
        <v>3079</v>
      </c>
      <c r="C962">
        <v>2008</v>
      </c>
      <c r="D962" s="7">
        <v>45809</v>
      </c>
      <c r="E962" t="s">
        <v>204</v>
      </c>
      <c r="F962" t="s">
        <v>202</v>
      </c>
      <c r="G962">
        <v>20</v>
      </c>
      <c r="H962" s="7">
        <v>45830</v>
      </c>
      <c r="I962" t="s">
        <v>216</v>
      </c>
    </row>
    <row r="963" spans="1:9">
      <c r="A963">
        <v>50962</v>
      </c>
      <c r="B963">
        <v>3079</v>
      </c>
      <c r="C963">
        <v>2008</v>
      </c>
      <c r="D963" s="7">
        <v>45963</v>
      </c>
      <c r="E963" t="s">
        <v>212</v>
      </c>
      <c r="F963" t="s">
        <v>202</v>
      </c>
      <c r="G963">
        <v>90</v>
      </c>
      <c r="H963" s="7">
        <v>45984</v>
      </c>
      <c r="I963" t="s">
        <v>209</v>
      </c>
    </row>
    <row r="964" spans="1:9">
      <c r="A964">
        <v>50963</v>
      </c>
      <c r="B964">
        <v>3079</v>
      </c>
      <c r="C964">
        <v>2008</v>
      </c>
      <c r="D964" s="7">
        <v>46198</v>
      </c>
      <c r="E964" t="s">
        <v>212</v>
      </c>
      <c r="F964" t="s">
        <v>202</v>
      </c>
      <c r="G964">
        <v>10</v>
      </c>
      <c r="H964" s="7">
        <v>46212</v>
      </c>
      <c r="I964" t="s">
        <v>209</v>
      </c>
    </row>
    <row r="965" spans="1:9">
      <c r="A965">
        <v>50964</v>
      </c>
      <c r="B965">
        <v>3080</v>
      </c>
      <c r="C965">
        <v>2013</v>
      </c>
      <c r="D965" s="7">
        <v>45950</v>
      </c>
      <c r="E965" t="s">
        <v>210</v>
      </c>
      <c r="F965" t="s">
        <v>215</v>
      </c>
      <c r="G965">
        <v>10</v>
      </c>
      <c r="H965" s="7">
        <v>45980</v>
      </c>
      <c r="I965" t="s">
        <v>206</v>
      </c>
    </row>
    <row r="966" spans="1:9">
      <c r="A966">
        <v>50965</v>
      </c>
      <c r="B966">
        <v>3080</v>
      </c>
      <c r="C966">
        <v>2013</v>
      </c>
      <c r="D966" s="7">
        <v>45957</v>
      </c>
      <c r="E966" t="s">
        <v>201</v>
      </c>
      <c r="F966" t="s">
        <v>215</v>
      </c>
      <c r="G966">
        <v>45</v>
      </c>
      <c r="H966" s="7">
        <v>45964</v>
      </c>
      <c r="I966" t="s">
        <v>209</v>
      </c>
    </row>
    <row r="967" spans="1:9">
      <c r="A967">
        <v>50966</v>
      </c>
      <c r="B967">
        <v>3080</v>
      </c>
      <c r="C967">
        <v>2013</v>
      </c>
      <c r="D967" s="7">
        <v>45960</v>
      </c>
      <c r="E967" t="s">
        <v>210</v>
      </c>
      <c r="F967" t="s">
        <v>215</v>
      </c>
      <c r="G967">
        <v>90</v>
      </c>
      <c r="H967" s="7">
        <v>45981</v>
      </c>
      <c r="I967" t="s">
        <v>209</v>
      </c>
    </row>
    <row r="968" spans="1:9">
      <c r="A968">
        <v>50967</v>
      </c>
      <c r="B968">
        <v>3080</v>
      </c>
      <c r="C968">
        <v>2013</v>
      </c>
      <c r="D968" s="7">
        <v>45968</v>
      </c>
      <c r="E968" t="s">
        <v>208</v>
      </c>
      <c r="F968" t="s">
        <v>213</v>
      </c>
      <c r="H968" s="7">
        <v>45982</v>
      </c>
      <c r="I968" t="s">
        <v>203</v>
      </c>
    </row>
    <row r="969" spans="1:9">
      <c r="A969">
        <v>50968</v>
      </c>
      <c r="B969">
        <v>3080</v>
      </c>
      <c r="C969">
        <v>2013</v>
      </c>
      <c r="D969" s="7">
        <v>45968</v>
      </c>
      <c r="E969" t="s">
        <v>210</v>
      </c>
      <c r="F969" t="s">
        <v>205</v>
      </c>
      <c r="H969" s="7"/>
      <c r="I969" t="s">
        <v>203</v>
      </c>
    </row>
    <row r="970" spans="1:9">
      <c r="A970">
        <v>50969</v>
      </c>
      <c r="B970">
        <v>3080</v>
      </c>
      <c r="C970">
        <v>2013</v>
      </c>
      <c r="D970" s="7">
        <v>45974</v>
      </c>
      <c r="E970" t="s">
        <v>212</v>
      </c>
      <c r="F970" t="s">
        <v>202</v>
      </c>
      <c r="G970">
        <v>45</v>
      </c>
      <c r="H970" s="7">
        <v>45995</v>
      </c>
      <c r="I970" t="s">
        <v>206</v>
      </c>
    </row>
    <row r="971" spans="1:9">
      <c r="A971">
        <v>50970</v>
      </c>
      <c r="B971">
        <v>3080</v>
      </c>
      <c r="C971">
        <v>2013</v>
      </c>
      <c r="D971" s="7">
        <v>45974</v>
      </c>
      <c r="E971" t="s">
        <v>212</v>
      </c>
      <c r="F971" t="s">
        <v>202</v>
      </c>
      <c r="G971">
        <v>30</v>
      </c>
      <c r="H971" s="7">
        <v>46004</v>
      </c>
      <c r="I971" t="s">
        <v>207</v>
      </c>
    </row>
    <row r="972" spans="1:9">
      <c r="A972">
        <v>50971</v>
      </c>
      <c r="B972">
        <v>3080</v>
      </c>
      <c r="C972">
        <v>2013</v>
      </c>
      <c r="D972" s="7">
        <v>45981</v>
      </c>
      <c r="E972" t="s">
        <v>210</v>
      </c>
      <c r="F972" t="s">
        <v>202</v>
      </c>
      <c r="G972">
        <v>10</v>
      </c>
      <c r="H972" s="7">
        <v>46002</v>
      </c>
      <c r="I972" t="s">
        <v>207</v>
      </c>
    </row>
    <row r="973" spans="1:9">
      <c r="A973">
        <v>50972</v>
      </c>
      <c r="B973">
        <v>3080</v>
      </c>
      <c r="C973">
        <v>2013</v>
      </c>
      <c r="D973" s="7">
        <v>45983</v>
      </c>
      <c r="E973" t="s">
        <v>204</v>
      </c>
      <c r="F973" t="s">
        <v>202</v>
      </c>
      <c r="G973">
        <v>90</v>
      </c>
      <c r="H973" s="7">
        <v>45990</v>
      </c>
      <c r="I973" t="s">
        <v>203</v>
      </c>
    </row>
    <row r="974" spans="1:9">
      <c r="A974">
        <v>50973</v>
      </c>
      <c r="B974">
        <v>3080</v>
      </c>
      <c r="C974">
        <v>2013</v>
      </c>
      <c r="D974" s="7">
        <v>46003</v>
      </c>
      <c r="E974" t="s">
        <v>212</v>
      </c>
      <c r="F974" t="s">
        <v>213</v>
      </c>
      <c r="H974" s="7">
        <v>46033</v>
      </c>
      <c r="I974" t="s">
        <v>203</v>
      </c>
    </row>
    <row r="975" spans="1:9">
      <c r="A975">
        <v>50974</v>
      </c>
      <c r="B975">
        <v>3080</v>
      </c>
      <c r="C975">
        <v>2013</v>
      </c>
      <c r="D975" s="7">
        <v>46027</v>
      </c>
      <c r="E975" t="s">
        <v>210</v>
      </c>
      <c r="F975" t="s">
        <v>215</v>
      </c>
      <c r="G975">
        <v>90</v>
      </c>
      <c r="H975" s="7">
        <v>46034</v>
      </c>
      <c r="I975" t="s">
        <v>203</v>
      </c>
    </row>
    <row r="976" spans="1:9">
      <c r="A976">
        <v>50975</v>
      </c>
      <c r="B976">
        <v>3081</v>
      </c>
      <c r="C976">
        <v>2017</v>
      </c>
      <c r="D976" s="7">
        <v>45396</v>
      </c>
      <c r="E976" t="s">
        <v>204</v>
      </c>
      <c r="F976" t="s">
        <v>202</v>
      </c>
      <c r="G976">
        <v>10</v>
      </c>
      <c r="H976" s="7">
        <v>45410</v>
      </c>
      <c r="I976" t="s">
        <v>206</v>
      </c>
    </row>
    <row r="977" spans="1:9">
      <c r="A977">
        <v>50976</v>
      </c>
      <c r="B977">
        <v>3081</v>
      </c>
      <c r="C977">
        <v>2017</v>
      </c>
      <c r="D977" s="7">
        <v>45435</v>
      </c>
      <c r="E977" t="s">
        <v>212</v>
      </c>
      <c r="F977" t="s">
        <v>202</v>
      </c>
      <c r="G977">
        <v>60</v>
      </c>
      <c r="H977" s="7">
        <v>45449</v>
      </c>
      <c r="I977" t="s">
        <v>209</v>
      </c>
    </row>
    <row r="978" spans="1:9">
      <c r="A978">
        <v>50977</v>
      </c>
      <c r="B978">
        <v>3081</v>
      </c>
      <c r="C978">
        <v>2017</v>
      </c>
      <c r="D978" s="7">
        <v>45562</v>
      </c>
      <c r="E978" t="s">
        <v>210</v>
      </c>
      <c r="F978" t="s">
        <v>214</v>
      </c>
      <c r="H978" s="7">
        <v>45583</v>
      </c>
      <c r="I978" t="s">
        <v>217</v>
      </c>
    </row>
    <row r="979" spans="1:9">
      <c r="A979">
        <v>50978</v>
      </c>
      <c r="B979">
        <v>3081</v>
      </c>
      <c r="C979">
        <v>2017</v>
      </c>
      <c r="D979" s="7">
        <v>45644</v>
      </c>
      <c r="E979" t="s">
        <v>204</v>
      </c>
      <c r="F979" t="s">
        <v>215</v>
      </c>
      <c r="G979">
        <v>60</v>
      </c>
      <c r="H979" s="7">
        <v>45665</v>
      </c>
      <c r="I979" t="s">
        <v>216</v>
      </c>
    </row>
    <row r="980" spans="1:9">
      <c r="A980">
        <v>50979</v>
      </c>
      <c r="B980">
        <v>3081</v>
      </c>
      <c r="C980">
        <v>2017</v>
      </c>
      <c r="D980" s="7">
        <v>45720</v>
      </c>
      <c r="E980" t="s">
        <v>212</v>
      </c>
      <c r="F980" t="s">
        <v>213</v>
      </c>
      <c r="H980" s="7">
        <v>45727</v>
      </c>
      <c r="I980" t="s">
        <v>211</v>
      </c>
    </row>
    <row r="981" spans="1:9">
      <c r="A981">
        <v>50980</v>
      </c>
      <c r="B981">
        <v>3081</v>
      </c>
      <c r="C981">
        <v>2017</v>
      </c>
      <c r="D981" s="7">
        <v>45764</v>
      </c>
      <c r="E981" t="s">
        <v>219</v>
      </c>
      <c r="F981" t="s">
        <v>214</v>
      </c>
      <c r="H981" s="7">
        <v>45785</v>
      </c>
      <c r="I981" t="s">
        <v>209</v>
      </c>
    </row>
    <row r="982" spans="1:9">
      <c r="A982">
        <v>50981</v>
      </c>
      <c r="B982">
        <v>3081</v>
      </c>
      <c r="C982">
        <v>2017</v>
      </c>
      <c r="D982" s="7">
        <v>45845</v>
      </c>
      <c r="E982" t="s">
        <v>204</v>
      </c>
      <c r="F982" t="s">
        <v>202</v>
      </c>
      <c r="G982">
        <v>20</v>
      </c>
      <c r="H982" s="7">
        <v>45866</v>
      </c>
      <c r="I982" t="s">
        <v>207</v>
      </c>
    </row>
    <row r="983" spans="1:9">
      <c r="A983">
        <v>50982</v>
      </c>
      <c r="B983">
        <v>3081</v>
      </c>
      <c r="C983">
        <v>2017</v>
      </c>
      <c r="D983" s="7">
        <v>46128</v>
      </c>
      <c r="E983" t="s">
        <v>212</v>
      </c>
      <c r="F983" t="s">
        <v>202</v>
      </c>
      <c r="G983">
        <v>15</v>
      </c>
      <c r="H983" s="7">
        <v>46131</v>
      </c>
      <c r="I983" t="s">
        <v>206</v>
      </c>
    </row>
    <row r="984" spans="1:9">
      <c r="A984">
        <v>50983</v>
      </c>
      <c r="B984">
        <v>3081</v>
      </c>
      <c r="C984">
        <v>2017</v>
      </c>
      <c r="D984" s="7">
        <v>46164</v>
      </c>
      <c r="E984" t="s">
        <v>208</v>
      </c>
      <c r="F984" t="s">
        <v>214</v>
      </c>
      <c r="H984" s="7">
        <v>46185</v>
      </c>
      <c r="I984" t="s">
        <v>207</v>
      </c>
    </row>
    <row r="985" spans="1:9">
      <c r="A985">
        <v>50984</v>
      </c>
      <c r="B985">
        <v>3081</v>
      </c>
      <c r="C985">
        <v>2017</v>
      </c>
      <c r="D985" s="7">
        <v>46181</v>
      </c>
      <c r="E985" t="s">
        <v>201</v>
      </c>
      <c r="F985" t="s">
        <v>202</v>
      </c>
      <c r="G985">
        <v>20</v>
      </c>
      <c r="H985" s="7">
        <v>46202</v>
      </c>
      <c r="I985" t="s">
        <v>217</v>
      </c>
    </row>
    <row r="986" spans="1:9">
      <c r="A986">
        <v>50985</v>
      </c>
      <c r="B986">
        <v>3082</v>
      </c>
      <c r="C986">
        <v>2003</v>
      </c>
      <c r="D986" s="7">
        <v>46156</v>
      </c>
      <c r="E986" t="s">
        <v>219</v>
      </c>
      <c r="F986" t="s">
        <v>202</v>
      </c>
      <c r="G986">
        <v>45</v>
      </c>
      <c r="H986" s="7">
        <v>46170</v>
      </c>
      <c r="I986" t="s">
        <v>217</v>
      </c>
    </row>
    <row r="987" spans="1:9">
      <c r="A987">
        <v>50986</v>
      </c>
      <c r="B987">
        <v>3082</v>
      </c>
      <c r="C987">
        <v>2003</v>
      </c>
      <c r="D987" s="7">
        <v>46157</v>
      </c>
      <c r="E987" t="s">
        <v>204</v>
      </c>
      <c r="F987" t="s">
        <v>214</v>
      </c>
      <c r="H987" s="7">
        <v>46187</v>
      </c>
      <c r="I987" t="s">
        <v>207</v>
      </c>
    </row>
    <row r="988" spans="1:9">
      <c r="A988">
        <v>50987</v>
      </c>
      <c r="B988">
        <v>3082</v>
      </c>
      <c r="C988">
        <v>2003</v>
      </c>
      <c r="D988" s="7">
        <v>46160</v>
      </c>
      <c r="E988" t="s">
        <v>219</v>
      </c>
      <c r="F988" t="s">
        <v>202</v>
      </c>
      <c r="G988">
        <v>20</v>
      </c>
      <c r="H988" s="7">
        <v>46167</v>
      </c>
      <c r="I988" t="s">
        <v>206</v>
      </c>
    </row>
    <row r="989" spans="1:9">
      <c r="A989">
        <v>50988</v>
      </c>
      <c r="B989">
        <v>3082</v>
      </c>
      <c r="C989">
        <v>2003</v>
      </c>
      <c r="D989" s="7">
        <v>46166</v>
      </c>
      <c r="E989" t="s">
        <v>204</v>
      </c>
      <c r="F989" t="s">
        <v>202</v>
      </c>
      <c r="G989">
        <v>10</v>
      </c>
      <c r="H989" s="7">
        <v>46187</v>
      </c>
      <c r="I989" t="s">
        <v>211</v>
      </c>
    </row>
    <row r="990" spans="1:9">
      <c r="A990">
        <v>50989</v>
      </c>
      <c r="B990">
        <v>3082</v>
      </c>
      <c r="C990">
        <v>2003</v>
      </c>
      <c r="D990" s="7">
        <v>46169</v>
      </c>
      <c r="E990" t="s">
        <v>219</v>
      </c>
      <c r="F990" t="s">
        <v>214</v>
      </c>
      <c r="H990" s="7">
        <v>46183</v>
      </c>
      <c r="I990" t="s">
        <v>217</v>
      </c>
    </row>
    <row r="991" spans="1:9">
      <c r="A991">
        <v>50990</v>
      </c>
      <c r="B991">
        <v>3082</v>
      </c>
      <c r="C991">
        <v>2003</v>
      </c>
      <c r="D991" s="7">
        <v>46170</v>
      </c>
      <c r="E991" t="s">
        <v>212</v>
      </c>
      <c r="F991" t="s">
        <v>213</v>
      </c>
      <c r="H991" s="7">
        <v>46173</v>
      </c>
      <c r="I991" t="s">
        <v>216</v>
      </c>
    </row>
    <row r="992" spans="1:9">
      <c r="A992">
        <v>50991</v>
      </c>
      <c r="B992">
        <v>3082</v>
      </c>
      <c r="C992">
        <v>2003</v>
      </c>
      <c r="D992" s="7">
        <v>46170</v>
      </c>
      <c r="E992" t="s">
        <v>204</v>
      </c>
      <c r="F992" t="s">
        <v>214</v>
      </c>
      <c r="H992" s="7">
        <v>46177</v>
      </c>
      <c r="I992" t="s">
        <v>211</v>
      </c>
    </row>
    <row r="993" spans="1:9">
      <c r="A993">
        <v>50992</v>
      </c>
      <c r="B993">
        <v>3082</v>
      </c>
      <c r="C993">
        <v>2003</v>
      </c>
      <c r="D993" s="7">
        <v>46174</v>
      </c>
      <c r="E993" t="s">
        <v>210</v>
      </c>
      <c r="F993" t="s">
        <v>202</v>
      </c>
      <c r="G993">
        <v>30</v>
      </c>
      <c r="H993" s="7">
        <v>46177</v>
      </c>
      <c r="I993" t="s">
        <v>217</v>
      </c>
    </row>
    <row r="994" spans="1:9">
      <c r="A994">
        <v>50993</v>
      </c>
      <c r="B994">
        <v>3082</v>
      </c>
      <c r="C994">
        <v>2003</v>
      </c>
      <c r="D994" s="7">
        <v>46180</v>
      </c>
      <c r="E994" t="s">
        <v>219</v>
      </c>
      <c r="F994" t="s">
        <v>215</v>
      </c>
      <c r="G994">
        <v>20</v>
      </c>
      <c r="H994" s="7">
        <v>46187</v>
      </c>
      <c r="I994" t="s">
        <v>216</v>
      </c>
    </row>
    <row r="995" spans="1:9">
      <c r="A995">
        <v>50994</v>
      </c>
      <c r="B995">
        <v>3082</v>
      </c>
      <c r="C995">
        <v>2003</v>
      </c>
      <c r="D995" s="7">
        <v>46181</v>
      </c>
      <c r="E995" t="s">
        <v>204</v>
      </c>
      <c r="F995" t="s">
        <v>202</v>
      </c>
      <c r="G995">
        <v>15</v>
      </c>
      <c r="H995" s="7">
        <v>46188</v>
      </c>
      <c r="I995" t="s">
        <v>206</v>
      </c>
    </row>
    <row r="996" spans="1:9">
      <c r="A996">
        <v>50995</v>
      </c>
      <c r="B996">
        <v>3082</v>
      </c>
      <c r="C996">
        <v>2003</v>
      </c>
      <c r="D996" s="7">
        <v>46185</v>
      </c>
      <c r="E996" t="s">
        <v>219</v>
      </c>
      <c r="F996" t="s">
        <v>213</v>
      </c>
      <c r="H996" s="7">
        <v>46188</v>
      </c>
      <c r="I996" t="s">
        <v>211</v>
      </c>
    </row>
    <row r="997" spans="1:9">
      <c r="A997">
        <v>50996</v>
      </c>
      <c r="B997">
        <v>3082</v>
      </c>
      <c r="C997">
        <v>2003</v>
      </c>
      <c r="D997" s="7">
        <v>46186</v>
      </c>
      <c r="E997" t="s">
        <v>212</v>
      </c>
      <c r="F997" t="s">
        <v>202</v>
      </c>
      <c r="G997">
        <v>10</v>
      </c>
      <c r="H997" s="7"/>
      <c r="I997" t="s">
        <v>217</v>
      </c>
    </row>
    <row r="998" spans="1:9">
      <c r="A998">
        <v>50997</v>
      </c>
      <c r="B998">
        <v>3082</v>
      </c>
      <c r="C998">
        <v>2003</v>
      </c>
      <c r="D998" s="7">
        <v>46188</v>
      </c>
      <c r="E998" t="s">
        <v>212</v>
      </c>
      <c r="F998" t="s">
        <v>205</v>
      </c>
      <c r="H998" s="7"/>
      <c r="I998" t="s">
        <v>211</v>
      </c>
    </row>
    <row r="999" spans="1:9">
      <c r="A999">
        <v>50998</v>
      </c>
      <c r="B999">
        <v>3082</v>
      </c>
      <c r="C999">
        <v>2003</v>
      </c>
      <c r="D999" s="7">
        <v>46190</v>
      </c>
      <c r="E999" t="s">
        <v>208</v>
      </c>
      <c r="F999" t="s">
        <v>202</v>
      </c>
      <c r="G999">
        <v>10</v>
      </c>
      <c r="H999" s="7"/>
      <c r="I999" t="s">
        <v>203</v>
      </c>
    </row>
    <row r="1000" spans="1:9">
      <c r="A1000">
        <v>50999</v>
      </c>
      <c r="B1000">
        <v>3082</v>
      </c>
      <c r="C1000">
        <v>2003</v>
      </c>
      <c r="D1000" s="7">
        <v>46194</v>
      </c>
      <c r="E1000" t="s">
        <v>204</v>
      </c>
      <c r="F1000" t="s">
        <v>205</v>
      </c>
      <c r="H1000" s="7"/>
      <c r="I1000" t="s">
        <v>217</v>
      </c>
    </row>
    <row r="1001" spans="1:9">
      <c r="A1001">
        <v>51000</v>
      </c>
      <c r="B1001">
        <v>3082</v>
      </c>
      <c r="C1001">
        <v>2003</v>
      </c>
      <c r="D1001" s="7">
        <v>46200</v>
      </c>
      <c r="E1001" t="s">
        <v>212</v>
      </c>
      <c r="F1001" t="s">
        <v>213</v>
      </c>
      <c r="H1001" s="7"/>
      <c r="I1001" t="s">
        <v>211</v>
      </c>
    </row>
    <row r="1002" spans="1:9">
      <c r="A1002">
        <v>51001</v>
      </c>
      <c r="B1002">
        <v>3082</v>
      </c>
      <c r="C1002">
        <v>2003</v>
      </c>
      <c r="D1002" s="7">
        <v>46202</v>
      </c>
      <c r="E1002" t="s">
        <v>201</v>
      </c>
      <c r="F1002" t="s">
        <v>215</v>
      </c>
      <c r="G1002">
        <v>60</v>
      </c>
      <c r="H1002" s="7"/>
      <c r="I1002" t="s">
        <v>217</v>
      </c>
    </row>
    <row r="1003" spans="1:9">
      <c r="A1003">
        <v>51002</v>
      </c>
      <c r="B1003">
        <v>3082</v>
      </c>
      <c r="C1003">
        <v>2003</v>
      </c>
      <c r="D1003" s="7">
        <v>46206</v>
      </c>
      <c r="E1003" t="s">
        <v>219</v>
      </c>
      <c r="F1003" t="s">
        <v>202</v>
      </c>
      <c r="G1003">
        <v>30</v>
      </c>
      <c r="H1003" s="7">
        <v>46209</v>
      </c>
      <c r="I1003" t="s">
        <v>203</v>
      </c>
    </row>
    <row r="1004" spans="1:9">
      <c r="A1004">
        <v>51003</v>
      </c>
      <c r="B1004">
        <v>3082</v>
      </c>
      <c r="C1004">
        <v>2003</v>
      </c>
      <c r="D1004" s="7">
        <v>46214</v>
      </c>
      <c r="E1004" t="s">
        <v>219</v>
      </c>
      <c r="F1004" t="s">
        <v>202</v>
      </c>
      <c r="G1004">
        <v>60</v>
      </c>
      <c r="H1004" s="7"/>
      <c r="I1004" t="s">
        <v>217</v>
      </c>
    </row>
    <row r="1005" spans="1:9">
      <c r="A1005">
        <v>51004</v>
      </c>
      <c r="B1005">
        <v>3083</v>
      </c>
      <c r="C1005">
        <v>2003</v>
      </c>
      <c r="D1005" s="7">
        <v>46061</v>
      </c>
      <c r="E1005" t="s">
        <v>219</v>
      </c>
      <c r="F1005" t="s">
        <v>202</v>
      </c>
      <c r="G1005">
        <v>30</v>
      </c>
      <c r="H1005" s="7">
        <v>46082</v>
      </c>
      <c r="I1005" t="s">
        <v>216</v>
      </c>
    </row>
    <row r="1006" spans="1:9">
      <c r="A1006">
        <v>51005</v>
      </c>
      <c r="B1006">
        <v>3083</v>
      </c>
      <c r="C1006">
        <v>2003</v>
      </c>
      <c r="D1006" s="7">
        <v>46067</v>
      </c>
      <c r="E1006" t="s">
        <v>201</v>
      </c>
      <c r="F1006" t="s">
        <v>202</v>
      </c>
      <c r="G1006">
        <v>15</v>
      </c>
      <c r="H1006" s="7">
        <v>46088</v>
      </c>
      <c r="I1006" t="s">
        <v>217</v>
      </c>
    </row>
    <row r="1007" spans="1:9">
      <c r="A1007">
        <v>51006</v>
      </c>
      <c r="B1007">
        <v>3083</v>
      </c>
      <c r="C1007">
        <v>2003</v>
      </c>
      <c r="D1007" s="7">
        <v>46070</v>
      </c>
      <c r="E1007" t="s">
        <v>204</v>
      </c>
      <c r="F1007" t="s">
        <v>202</v>
      </c>
      <c r="G1007">
        <v>90</v>
      </c>
      <c r="H1007" s="7">
        <v>46091</v>
      </c>
      <c r="I1007" t="s">
        <v>216</v>
      </c>
    </row>
    <row r="1008" spans="1:9">
      <c r="A1008">
        <v>51007</v>
      </c>
      <c r="B1008">
        <v>3083</v>
      </c>
      <c r="C1008">
        <v>2003</v>
      </c>
      <c r="D1008" s="7">
        <v>46076</v>
      </c>
      <c r="E1008" t="s">
        <v>201</v>
      </c>
      <c r="F1008" t="s">
        <v>202</v>
      </c>
      <c r="G1008">
        <v>30</v>
      </c>
      <c r="H1008" s="7">
        <v>46097</v>
      </c>
      <c r="I1008" t="s">
        <v>216</v>
      </c>
    </row>
    <row r="1009" spans="1:9">
      <c r="A1009">
        <v>51008</v>
      </c>
      <c r="B1009">
        <v>3083</v>
      </c>
      <c r="C1009">
        <v>2003</v>
      </c>
      <c r="D1009" s="7">
        <v>46081</v>
      </c>
      <c r="E1009" t="s">
        <v>219</v>
      </c>
      <c r="F1009" t="s">
        <v>214</v>
      </c>
      <c r="H1009" s="7">
        <v>46095</v>
      </c>
      <c r="I1009" t="s">
        <v>206</v>
      </c>
    </row>
    <row r="1010" spans="1:9">
      <c r="A1010">
        <v>51009</v>
      </c>
      <c r="B1010">
        <v>3083</v>
      </c>
      <c r="C1010">
        <v>2003</v>
      </c>
      <c r="D1010" s="7">
        <v>46093</v>
      </c>
      <c r="E1010" t="s">
        <v>201</v>
      </c>
      <c r="F1010" t="s">
        <v>214</v>
      </c>
      <c r="H1010" s="7">
        <v>46123</v>
      </c>
      <c r="I1010" t="s">
        <v>217</v>
      </c>
    </row>
    <row r="1011" spans="1:9">
      <c r="A1011">
        <v>51010</v>
      </c>
      <c r="B1011">
        <v>3083</v>
      </c>
      <c r="C1011">
        <v>2003</v>
      </c>
      <c r="D1011" s="7">
        <v>46093</v>
      </c>
      <c r="E1011" t="s">
        <v>204</v>
      </c>
      <c r="F1011" t="s">
        <v>202</v>
      </c>
      <c r="G1011">
        <v>90</v>
      </c>
      <c r="H1011" s="7">
        <v>46123</v>
      </c>
      <c r="I1011" t="s">
        <v>203</v>
      </c>
    </row>
    <row r="1012" spans="1:9">
      <c r="A1012">
        <v>51011</v>
      </c>
      <c r="B1012">
        <v>3083</v>
      </c>
      <c r="C1012">
        <v>2003</v>
      </c>
      <c r="D1012" s="7">
        <v>46097</v>
      </c>
      <c r="E1012" t="s">
        <v>204</v>
      </c>
      <c r="F1012" t="s">
        <v>202</v>
      </c>
      <c r="G1012">
        <v>45</v>
      </c>
      <c r="H1012" s="7">
        <v>46127</v>
      </c>
      <c r="I1012" t="s">
        <v>203</v>
      </c>
    </row>
    <row r="1013" spans="1:9">
      <c r="A1013">
        <v>51012</v>
      </c>
      <c r="B1013">
        <v>3083</v>
      </c>
      <c r="C1013">
        <v>2003</v>
      </c>
      <c r="D1013" s="7">
        <v>46097</v>
      </c>
      <c r="E1013" t="s">
        <v>212</v>
      </c>
      <c r="F1013" t="s">
        <v>202</v>
      </c>
      <c r="G1013">
        <v>20</v>
      </c>
      <c r="H1013" s="7">
        <v>46100</v>
      </c>
      <c r="I1013" t="s">
        <v>206</v>
      </c>
    </row>
    <row r="1014" spans="1:9">
      <c r="A1014">
        <v>51013</v>
      </c>
      <c r="B1014">
        <v>3083</v>
      </c>
      <c r="C1014">
        <v>2003</v>
      </c>
      <c r="D1014" s="7">
        <v>46101</v>
      </c>
      <c r="E1014" t="s">
        <v>204</v>
      </c>
      <c r="F1014" t="s">
        <v>202</v>
      </c>
      <c r="G1014">
        <v>20</v>
      </c>
      <c r="H1014" s="7">
        <v>46104</v>
      </c>
      <c r="I1014" t="s">
        <v>217</v>
      </c>
    </row>
    <row r="1015" spans="1:9">
      <c r="A1015">
        <v>51014</v>
      </c>
      <c r="B1015">
        <v>3083</v>
      </c>
      <c r="C1015">
        <v>2003</v>
      </c>
      <c r="D1015" s="7">
        <v>46101</v>
      </c>
      <c r="E1015" t="s">
        <v>212</v>
      </c>
      <c r="F1015" t="s">
        <v>202</v>
      </c>
      <c r="G1015">
        <v>90</v>
      </c>
      <c r="H1015" s="7">
        <v>46131</v>
      </c>
      <c r="I1015" t="s">
        <v>211</v>
      </c>
    </row>
    <row r="1016" spans="1:9">
      <c r="A1016">
        <v>51015</v>
      </c>
      <c r="B1016">
        <v>3083</v>
      </c>
      <c r="C1016">
        <v>2003</v>
      </c>
      <c r="D1016" s="7">
        <v>46101</v>
      </c>
      <c r="E1016" t="s">
        <v>208</v>
      </c>
      <c r="F1016" t="s">
        <v>202</v>
      </c>
      <c r="G1016">
        <v>10</v>
      </c>
      <c r="H1016" s="7">
        <v>46122</v>
      </c>
      <c r="I1016" t="s">
        <v>203</v>
      </c>
    </row>
    <row r="1017" spans="1:9">
      <c r="A1017">
        <v>51016</v>
      </c>
      <c r="B1017">
        <v>3083</v>
      </c>
      <c r="C1017">
        <v>2003</v>
      </c>
      <c r="D1017" s="7">
        <v>46102</v>
      </c>
      <c r="E1017" t="s">
        <v>204</v>
      </c>
      <c r="F1017" t="s">
        <v>213</v>
      </c>
      <c r="H1017" s="7">
        <v>46132</v>
      </c>
      <c r="I1017" t="s">
        <v>211</v>
      </c>
    </row>
    <row r="1018" spans="1:9">
      <c r="A1018">
        <v>51017</v>
      </c>
      <c r="B1018">
        <v>3083</v>
      </c>
      <c r="C1018">
        <v>2003</v>
      </c>
      <c r="D1018" s="7">
        <v>46106</v>
      </c>
      <c r="E1018" t="s">
        <v>210</v>
      </c>
      <c r="F1018" t="s">
        <v>202</v>
      </c>
      <c r="G1018">
        <v>90</v>
      </c>
      <c r="H1018" s="7">
        <v>46113</v>
      </c>
      <c r="I1018" t="s">
        <v>206</v>
      </c>
    </row>
    <row r="1019" spans="1:9">
      <c r="A1019">
        <v>51018</v>
      </c>
      <c r="B1019">
        <v>3084</v>
      </c>
      <c r="C1019">
        <v>2015</v>
      </c>
      <c r="D1019" s="7">
        <v>46109</v>
      </c>
      <c r="E1019" t="s">
        <v>210</v>
      </c>
      <c r="F1019" t="s">
        <v>214</v>
      </c>
      <c r="H1019" s="7">
        <v>46139</v>
      </c>
      <c r="I1019" t="s">
        <v>211</v>
      </c>
    </row>
    <row r="1020" spans="1:9">
      <c r="A1020">
        <v>51019</v>
      </c>
      <c r="B1020">
        <v>3084</v>
      </c>
      <c r="C1020">
        <v>2015</v>
      </c>
      <c r="D1020" s="7">
        <v>46127</v>
      </c>
      <c r="E1020" t="s">
        <v>212</v>
      </c>
      <c r="F1020" t="s">
        <v>202</v>
      </c>
      <c r="G1020">
        <v>15</v>
      </c>
      <c r="H1020" s="7">
        <v>46148</v>
      </c>
      <c r="I1020" t="s">
        <v>211</v>
      </c>
    </row>
    <row r="1021" spans="1:9">
      <c r="A1021">
        <v>51020</v>
      </c>
      <c r="B1021">
        <v>3084</v>
      </c>
      <c r="C1021">
        <v>2015</v>
      </c>
      <c r="D1021" s="7">
        <v>46138</v>
      </c>
      <c r="E1021" t="s">
        <v>204</v>
      </c>
      <c r="F1021" t="s">
        <v>202</v>
      </c>
      <c r="G1021">
        <v>20</v>
      </c>
      <c r="H1021" s="7">
        <v>46152</v>
      </c>
      <c r="I1021" t="s">
        <v>209</v>
      </c>
    </row>
    <row r="1022" spans="1:9">
      <c r="A1022">
        <v>51021</v>
      </c>
      <c r="B1022">
        <v>3084</v>
      </c>
      <c r="C1022">
        <v>2015</v>
      </c>
      <c r="D1022" s="7">
        <v>46157</v>
      </c>
      <c r="E1022" t="s">
        <v>208</v>
      </c>
      <c r="F1022" t="s">
        <v>202</v>
      </c>
      <c r="G1022">
        <v>20</v>
      </c>
      <c r="H1022" s="7">
        <v>46164</v>
      </c>
      <c r="I1022" t="s">
        <v>217</v>
      </c>
    </row>
    <row r="1023" spans="1:9">
      <c r="A1023">
        <v>51022</v>
      </c>
      <c r="B1023">
        <v>3084</v>
      </c>
      <c r="C1023">
        <v>2015</v>
      </c>
      <c r="D1023" s="7">
        <v>46169</v>
      </c>
      <c r="E1023" t="s">
        <v>204</v>
      </c>
      <c r="F1023" t="s">
        <v>202</v>
      </c>
      <c r="G1023">
        <v>15</v>
      </c>
      <c r="H1023" s="7">
        <v>46199</v>
      </c>
      <c r="I1023" t="s">
        <v>211</v>
      </c>
    </row>
    <row r="1024" spans="1:9">
      <c r="A1024">
        <v>51023</v>
      </c>
      <c r="B1024">
        <v>3084</v>
      </c>
      <c r="C1024">
        <v>2015</v>
      </c>
      <c r="D1024" s="7">
        <v>46175</v>
      </c>
      <c r="E1024" t="s">
        <v>204</v>
      </c>
      <c r="F1024" t="s">
        <v>202</v>
      </c>
      <c r="G1024">
        <v>30</v>
      </c>
      <c r="H1024" s="7">
        <v>46189</v>
      </c>
      <c r="I1024" t="s">
        <v>207</v>
      </c>
    </row>
    <row r="1025" spans="1:9">
      <c r="A1025">
        <v>51024</v>
      </c>
      <c r="B1025">
        <v>3084</v>
      </c>
      <c r="C1025">
        <v>2015</v>
      </c>
      <c r="D1025" s="7">
        <v>46179</v>
      </c>
      <c r="E1025" t="s">
        <v>201</v>
      </c>
      <c r="F1025" t="s">
        <v>202</v>
      </c>
      <c r="G1025">
        <v>60</v>
      </c>
      <c r="H1025" s="7">
        <v>46209</v>
      </c>
      <c r="I1025" t="s">
        <v>216</v>
      </c>
    </row>
    <row r="1026" spans="1:9">
      <c r="A1026">
        <v>51025</v>
      </c>
      <c r="B1026">
        <v>3084</v>
      </c>
      <c r="C1026">
        <v>2015</v>
      </c>
      <c r="D1026" s="7">
        <v>46188</v>
      </c>
      <c r="E1026" t="s">
        <v>204</v>
      </c>
      <c r="F1026" t="s">
        <v>202</v>
      </c>
      <c r="G1026">
        <v>90</v>
      </c>
      <c r="H1026" s="7">
        <v>46195</v>
      </c>
      <c r="I1026" t="s">
        <v>203</v>
      </c>
    </row>
    <row r="1027" spans="1:9">
      <c r="A1027">
        <v>51026</v>
      </c>
      <c r="B1027">
        <v>3084</v>
      </c>
      <c r="C1027">
        <v>2015</v>
      </c>
      <c r="D1027" s="7">
        <v>46196</v>
      </c>
      <c r="E1027" t="s">
        <v>210</v>
      </c>
      <c r="F1027" t="s">
        <v>214</v>
      </c>
      <c r="H1027" s="7">
        <v>46203</v>
      </c>
      <c r="I1027" t="s">
        <v>209</v>
      </c>
    </row>
    <row r="1028" spans="1:9">
      <c r="A1028">
        <v>51027</v>
      </c>
      <c r="B1028">
        <v>3084</v>
      </c>
      <c r="C1028">
        <v>2015</v>
      </c>
      <c r="D1028" s="7">
        <v>46211</v>
      </c>
      <c r="E1028" t="s">
        <v>201</v>
      </c>
      <c r="F1028" t="s">
        <v>214</v>
      </c>
      <c r="H1028" s="7"/>
      <c r="I1028" t="s">
        <v>207</v>
      </c>
    </row>
    <row r="1029" spans="1:9">
      <c r="A1029">
        <v>51028</v>
      </c>
      <c r="B1029">
        <v>3085</v>
      </c>
      <c r="C1029">
        <v>2018</v>
      </c>
      <c r="D1029" s="7">
        <v>45760</v>
      </c>
      <c r="E1029" t="s">
        <v>204</v>
      </c>
      <c r="F1029" t="s">
        <v>202</v>
      </c>
      <c r="G1029">
        <v>15</v>
      </c>
      <c r="H1029" s="7">
        <v>45767</v>
      </c>
      <c r="I1029" t="s">
        <v>207</v>
      </c>
    </row>
    <row r="1030" spans="1:9">
      <c r="A1030">
        <v>51029</v>
      </c>
      <c r="B1030">
        <v>3085</v>
      </c>
      <c r="C1030">
        <v>2018</v>
      </c>
      <c r="D1030" s="7">
        <v>45781</v>
      </c>
      <c r="E1030" t="s">
        <v>208</v>
      </c>
      <c r="F1030" t="s">
        <v>202</v>
      </c>
      <c r="G1030">
        <v>60</v>
      </c>
      <c r="H1030" s="7">
        <v>45788</v>
      </c>
      <c r="I1030" t="s">
        <v>207</v>
      </c>
    </row>
    <row r="1031" spans="1:9">
      <c r="A1031">
        <v>51030</v>
      </c>
      <c r="B1031">
        <v>3085</v>
      </c>
      <c r="C1031">
        <v>2018</v>
      </c>
      <c r="D1031" s="7">
        <v>45794</v>
      </c>
      <c r="E1031" t="s">
        <v>212</v>
      </c>
      <c r="F1031" t="s">
        <v>202</v>
      </c>
      <c r="G1031">
        <v>90</v>
      </c>
      <c r="H1031" s="7">
        <v>45808</v>
      </c>
      <c r="I1031" t="s">
        <v>209</v>
      </c>
    </row>
    <row r="1032" spans="1:9">
      <c r="A1032">
        <v>51031</v>
      </c>
      <c r="B1032">
        <v>3085</v>
      </c>
      <c r="C1032">
        <v>2018</v>
      </c>
      <c r="D1032" s="7">
        <v>45863</v>
      </c>
      <c r="E1032" t="s">
        <v>210</v>
      </c>
      <c r="F1032" t="s">
        <v>214</v>
      </c>
      <c r="H1032" s="7">
        <v>45893</v>
      </c>
      <c r="I1032" t="s">
        <v>211</v>
      </c>
    </row>
    <row r="1033" spans="1:9">
      <c r="A1033">
        <v>51032</v>
      </c>
      <c r="B1033">
        <v>3085</v>
      </c>
      <c r="C1033">
        <v>2018</v>
      </c>
      <c r="D1033" s="7">
        <v>45915</v>
      </c>
      <c r="E1033" t="s">
        <v>212</v>
      </c>
      <c r="F1033" t="s">
        <v>218</v>
      </c>
      <c r="H1033" s="7"/>
      <c r="I1033" t="s">
        <v>206</v>
      </c>
    </row>
    <row r="1034" spans="1:9">
      <c r="A1034">
        <v>51033</v>
      </c>
      <c r="B1034">
        <v>3085</v>
      </c>
      <c r="C1034">
        <v>2018</v>
      </c>
      <c r="D1034" s="7">
        <v>45933</v>
      </c>
      <c r="E1034" t="s">
        <v>201</v>
      </c>
      <c r="F1034" t="s">
        <v>214</v>
      </c>
      <c r="H1034" s="7">
        <v>45954</v>
      </c>
      <c r="I1034" t="s">
        <v>207</v>
      </c>
    </row>
    <row r="1035" spans="1:9">
      <c r="A1035">
        <v>51034</v>
      </c>
      <c r="B1035">
        <v>3085</v>
      </c>
      <c r="C1035">
        <v>2018</v>
      </c>
      <c r="D1035" s="7">
        <v>45992</v>
      </c>
      <c r="E1035" t="s">
        <v>210</v>
      </c>
      <c r="F1035" t="s">
        <v>214</v>
      </c>
      <c r="H1035" s="7">
        <v>45995</v>
      </c>
      <c r="I1035" t="s">
        <v>211</v>
      </c>
    </row>
    <row r="1036" spans="1:9">
      <c r="A1036">
        <v>51035</v>
      </c>
      <c r="B1036">
        <v>3085</v>
      </c>
      <c r="C1036">
        <v>2018</v>
      </c>
      <c r="D1036" s="7">
        <v>45995</v>
      </c>
      <c r="E1036" t="s">
        <v>219</v>
      </c>
      <c r="F1036" t="s">
        <v>205</v>
      </c>
      <c r="H1036" s="7"/>
      <c r="I1036" t="s">
        <v>216</v>
      </c>
    </row>
    <row r="1037" spans="1:9">
      <c r="A1037">
        <v>51036</v>
      </c>
      <c r="B1037">
        <v>3085</v>
      </c>
      <c r="C1037">
        <v>2018</v>
      </c>
      <c r="D1037" s="7">
        <v>46001</v>
      </c>
      <c r="E1037" t="s">
        <v>204</v>
      </c>
      <c r="F1037" t="s">
        <v>213</v>
      </c>
      <c r="H1037" s="7">
        <v>46008</v>
      </c>
      <c r="I1037" t="s">
        <v>203</v>
      </c>
    </row>
    <row r="1038" spans="1:9">
      <c r="A1038">
        <v>51037</v>
      </c>
      <c r="B1038">
        <v>3085</v>
      </c>
      <c r="C1038">
        <v>2018</v>
      </c>
      <c r="D1038" s="7">
        <v>46073</v>
      </c>
      <c r="E1038" t="s">
        <v>212</v>
      </c>
      <c r="F1038" t="s">
        <v>202</v>
      </c>
      <c r="G1038">
        <v>90</v>
      </c>
      <c r="H1038" s="7">
        <v>46076</v>
      </c>
      <c r="I1038" t="s">
        <v>216</v>
      </c>
    </row>
    <row r="1039" spans="1:9">
      <c r="A1039">
        <v>51038</v>
      </c>
      <c r="B1039">
        <v>3085</v>
      </c>
      <c r="C1039">
        <v>2018</v>
      </c>
      <c r="D1039" s="7">
        <v>46108</v>
      </c>
      <c r="E1039" t="s">
        <v>219</v>
      </c>
      <c r="F1039" t="s">
        <v>215</v>
      </c>
      <c r="G1039">
        <v>20</v>
      </c>
      <c r="H1039" s="7">
        <v>46111</v>
      </c>
      <c r="I1039" t="s">
        <v>217</v>
      </c>
    </row>
    <row r="1040" spans="1:9">
      <c r="A1040">
        <v>51039</v>
      </c>
      <c r="B1040">
        <v>3085</v>
      </c>
      <c r="C1040">
        <v>2018</v>
      </c>
      <c r="D1040" s="7">
        <v>46200</v>
      </c>
      <c r="E1040" t="s">
        <v>210</v>
      </c>
      <c r="F1040" t="s">
        <v>202</v>
      </c>
      <c r="G1040">
        <v>90</v>
      </c>
      <c r="H1040" s="7"/>
      <c r="I1040" t="s">
        <v>217</v>
      </c>
    </row>
    <row r="1041" spans="1:9">
      <c r="A1041">
        <v>51040</v>
      </c>
      <c r="B1041">
        <v>3086</v>
      </c>
      <c r="C1041">
        <v>2006</v>
      </c>
      <c r="D1041" s="7">
        <v>45195</v>
      </c>
      <c r="E1041" t="s">
        <v>212</v>
      </c>
      <c r="F1041" t="s">
        <v>218</v>
      </c>
      <c r="H1041" s="7"/>
      <c r="I1041" t="s">
        <v>203</v>
      </c>
    </row>
    <row r="1042" spans="1:9">
      <c r="A1042">
        <v>51041</v>
      </c>
      <c r="B1042">
        <v>3086</v>
      </c>
      <c r="C1042">
        <v>2006</v>
      </c>
      <c r="D1042" s="7">
        <v>45217</v>
      </c>
      <c r="E1042" t="s">
        <v>210</v>
      </c>
      <c r="F1042" t="s">
        <v>218</v>
      </c>
      <c r="H1042" s="7"/>
      <c r="I1042" t="s">
        <v>203</v>
      </c>
    </row>
    <row r="1043" spans="1:9">
      <c r="A1043">
        <v>51042</v>
      </c>
      <c r="B1043">
        <v>3086</v>
      </c>
      <c r="C1043">
        <v>2006</v>
      </c>
      <c r="D1043" s="7">
        <v>45371</v>
      </c>
      <c r="E1043" t="s">
        <v>210</v>
      </c>
      <c r="F1043" t="s">
        <v>215</v>
      </c>
      <c r="G1043">
        <v>60</v>
      </c>
      <c r="H1043" s="7">
        <v>45374</v>
      </c>
      <c r="I1043" t="s">
        <v>211</v>
      </c>
    </row>
    <row r="1044" spans="1:9">
      <c r="A1044">
        <v>51043</v>
      </c>
      <c r="B1044">
        <v>3086</v>
      </c>
      <c r="C1044">
        <v>2006</v>
      </c>
      <c r="D1044" s="7">
        <v>45579</v>
      </c>
      <c r="E1044" t="s">
        <v>208</v>
      </c>
      <c r="F1044" t="s">
        <v>202</v>
      </c>
      <c r="G1044">
        <v>60</v>
      </c>
      <c r="H1044" s="7">
        <v>45582</v>
      </c>
      <c r="I1044" t="s">
        <v>209</v>
      </c>
    </row>
    <row r="1045" spans="1:9">
      <c r="A1045">
        <v>51044</v>
      </c>
      <c r="B1045">
        <v>3086</v>
      </c>
      <c r="C1045">
        <v>2006</v>
      </c>
      <c r="D1045" s="7">
        <v>45719</v>
      </c>
      <c r="E1045" t="s">
        <v>201</v>
      </c>
      <c r="F1045" t="s">
        <v>205</v>
      </c>
      <c r="H1045" s="7"/>
      <c r="I1045" t="s">
        <v>211</v>
      </c>
    </row>
    <row r="1046" spans="1:9">
      <c r="A1046">
        <v>51045</v>
      </c>
      <c r="B1046">
        <v>3086</v>
      </c>
      <c r="C1046">
        <v>2006</v>
      </c>
      <c r="D1046" s="7">
        <v>45903</v>
      </c>
      <c r="E1046" t="s">
        <v>212</v>
      </c>
      <c r="F1046" t="s">
        <v>214</v>
      </c>
      <c r="H1046" s="7">
        <v>45933</v>
      </c>
      <c r="I1046" t="s">
        <v>217</v>
      </c>
    </row>
    <row r="1047" spans="1:9">
      <c r="A1047">
        <v>51046</v>
      </c>
      <c r="B1047">
        <v>3087</v>
      </c>
      <c r="C1047">
        <v>2007</v>
      </c>
      <c r="D1047" s="7">
        <v>45925</v>
      </c>
      <c r="E1047" t="s">
        <v>201</v>
      </c>
      <c r="F1047" t="s">
        <v>215</v>
      </c>
      <c r="G1047">
        <v>60</v>
      </c>
      <c r="H1047" s="7">
        <v>45928</v>
      </c>
      <c r="I1047" t="s">
        <v>216</v>
      </c>
    </row>
    <row r="1048" spans="1:9">
      <c r="A1048">
        <v>51047</v>
      </c>
      <c r="B1048">
        <v>3087</v>
      </c>
      <c r="C1048">
        <v>2007</v>
      </c>
      <c r="D1048" s="7">
        <v>45927</v>
      </c>
      <c r="E1048" t="s">
        <v>212</v>
      </c>
      <c r="F1048" t="s">
        <v>202</v>
      </c>
      <c r="G1048">
        <v>10</v>
      </c>
      <c r="H1048" s="7">
        <v>45934</v>
      </c>
      <c r="I1048" t="s">
        <v>209</v>
      </c>
    </row>
    <row r="1049" spans="1:9">
      <c r="A1049">
        <v>51048</v>
      </c>
      <c r="B1049">
        <v>3087</v>
      </c>
      <c r="C1049">
        <v>2007</v>
      </c>
      <c r="D1049" s="7">
        <v>45937</v>
      </c>
      <c r="E1049" t="s">
        <v>210</v>
      </c>
      <c r="F1049" t="s">
        <v>218</v>
      </c>
      <c r="H1049" s="7"/>
      <c r="I1049" t="s">
        <v>207</v>
      </c>
    </row>
    <row r="1050" spans="1:9">
      <c r="A1050">
        <v>51049</v>
      </c>
      <c r="B1050">
        <v>3087</v>
      </c>
      <c r="C1050">
        <v>2007</v>
      </c>
      <c r="D1050" s="7">
        <v>45987</v>
      </c>
      <c r="E1050" t="s">
        <v>212</v>
      </c>
      <c r="F1050" t="s">
        <v>202</v>
      </c>
      <c r="G1050">
        <v>30</v>
      </c>
      <c r="H1050" s="7">
        <v>45994</v>
      </c>
      <c r="I1050" t="s">
        <v>203</v>
      </c>
    </row>
    <row r="1051" spans="1:9">
      <c r="A1051">
        <v>51050</v>
      </c>
      <c r="B1051">
        <v>3087</v>
      </c>
      <c r="C1051">
        <v>2007</v>
      </c>
      <c r="D1051" s="7">
        <v>46019</v>
      </c>
      <c r="E1051" t="s">
        <v>201</v>
      </c>
      <c r="F1051" t="s">
        <v>202</v>
      </c>
      <c r="G1051">
        <v>45</v>
      </c>
      <c r="H1051" s="7">
        <v>46049</v>
      </c>
      <c r="I1051" t="s">
        <v>207</v>
      </c>
    </row>
    <row r="1052" spans="1:9">
      <c r="A1052">
        <v>51051</v>
      </c>
      <c r="B1052">
        <v>3087</v>
      </c>
      <c r="C1052">
        <v>2007</v>
      </c>
      <c r="D1052" s="7">
        <v>46040</v>
      </c>
      <c r="E1052" t="s">
        <v>201</v>
      </c>
      <c r="F1052" t="s">
        <v>213</v>
      </c>
      <c r="H1052" s="7">
        <v>46061</v>
      </c>
      <c r="I1052" t="s">
        <v>206</v>
      </c>
    </row>
    <row r="1053" spans="1:9">
      <c r="A1053">
        <v>51052</v>
      </c>
      <c r="B1053">
        <v>3087</v>
      </c>
      <c r="C1053">
        <v>2007</v>
      </c>
      <c r="D1053" s="7">
        <v>46067</v>
      </c>
      <c r="E1053" t="s">
        <v>212</v>
      </c>
      <c r="F1053" t="s">
        <v>202</v>
      </c>
      <c r="G1053">
        <v>60</v>
      </c>
      <c r="H1053" s="7">
        <v>46074</v>
      </c>
      <c r="I1053" t="s">
        <v>206</v>
      </c>
    </row>
    <row r="1054" spans="1:9">
      <c r="A1054">
        <v>51053</v>
      </c>
      <c r="B1054">
        <v>3087</v>
      </c>
      <c r="C1054">
        <v>2007</v>
      </c>
      <c r="D1054" s="7">
        <v>46083</v>
      </c>
      <c r="E1054" t="s">
        <v>219</v>
      </c>
      <c r="F1054" t="s">
        <v>214</v>
      </c>
      <c r="H1054" s="7">
        <v>46113</v>
      </c>
      <c r="I1054" t="s">
        <v>211</v>
      </c>
    </row>
    <row r="1055" spans="1:9">
      <c r="A1055">
        <v>51054</v>
      </c>
      <c r="B1055">
        <v>3087</v>
      </c>
      <c r="C1055">
        <v>2007</v>
      </c>
      <c r="D1055" s="7">
        <v>46100</v>
      </c>
      <c r="E1055" t="s">
        <v>212</v>
      </c>
      <c r="F1055" t="s">
        <v>202</v>
      </c>
      <c r="G1055">
        <v>90</v>
      </c>
      <c r="H1055" s="7">
        <v>46103</v>
      </c>
      <c r="I1055" t="s">
        <v>216</v>
      </c>
    </row>
    <row r="1056" spans="1:9">
      <c r="A1056">
        <v>51055</v>
      </c>
      <c r="B1056">
        <v>3087</v>
      </c>
      <c r="C1056">
        <v>2007</v>
      </c>
      <c r="D1056" s="7">
        <v>46122</v>
      </c>
      <c r="E1056" t="s">
        <v>210</v>
      </c>
      <c r="F1056" t="s">
        <v>214</v>
      </c>
      <c r="H1056" s="7">
        <v>46143</v>
      </c>
      <c r="I1056" t="s">
        <v>216</v>
      </c>
    </row>
    <row r="1057" spans="1:9">
      <c r="A1057">
        <v>51056</v>
      </c>
      <c r="B1057">
        <v>3087</v>
      </c>
      <c r="C1057">
        <v>2007</v>
      </c>
      <c r="D1057" s="7">
        <v>46132</v>
      </c>
      <c r="E1057" t="s">
        <v>201</v>
      </c>
      <c r="F1057" t="s">
        <v>202</v>
      </c>
      <c r="G1057">
        <v>60</v>
      </c>
      <c r="H1057" s="7">
        <v>46146</v>
      </c>
      <c r="I1057" t="s">
        <v>203</v>
      </c>
    </row>
    <row r="1058" spans="1:9">
      <c r="A1058">
        <v>51057</v>
      </c>
      <c r="B1058">
        <v>3087</v>
      </c>
      <c r="C1058">
        <v>2007</v>
      </c>
      <c r="D1058" s="7">
        <v>46137</v>
      </c>
      <c r="E1058" t="s">
        <v>212</v>
      </c>
      <c r="F1058" t="s">
        <v>202</v>
      </c>
      <c r="G1058">
        <v>20</v>
      </c>
      <c r="H1058" s="7">
        <v>46167</v>
      </c>
      <c r="I1058" t="s">
        <v>217</v>
      </c>
    </row>
    <row r="1059" spans="1:9">
      <c r="A1059">
        <v>51058</v>
      </c>
      <c r="B1059">
        <v>3087</v>
      </c>
      <c r="C1059">
        <v>2007</v>
      </c>
      <c r="D1059" s="7">
        <v>46152</v>
      </c>
      <c r="E1059" t="s">
        <v>219</v>
      </c>
      <c r="F1059" t="s">
        <v>202</v>
      </c>
      <c r="G1059">
        <v>90</v>
      </c>
      <c r="H1059" s="7">
        <v>46155</v>
      </c>
      <c r="I1059" t="s">
        <v>217</v>
      </c>
    </row>
    <row r="1060" spans="1:9">
      <c r="A1060">
        <v>51059</v>
      </c>
      <c r="B1060">
        <v>3087</v>
      </c>
      <c r="C1060">
        <v>2007</v>
      </c>
      <c r="D1060" s="7">
        <v>46155</v>
      </c>
      <c r="E1060" t="s">
        <v>201</v>
      </c>
      <c r="F1060" t="s">
        <v>202</v>
      </c>
      <c r="G1060">
        <v>90</v>
      </c>
      <c r="H1060" s="7">
        <v>46185</v>
      </c>
      <c r="I1060" t="s">
        <v>209</v>
      </c>
    </row>
    <row r="1061" spans="1:9">
      <c r="A1061">
        <v>51060</v>
      </c>
      <c r="B1061">
        <v>3087</v>
      </c>
      <c r="C1061">
        <v>2007</v>
      </c>
      <c r="D1061" s="7">
        <v>46182</v>
      </c>
      <c r="E1061" t="s">
        <v>212</v>
      </c>
      <c r="F1061" t="s">
        <v>202</v>
      </c>
      <c r="G1061">
        <v>20</v>
      </c>
      <c r="H1061" s="7">
        <v>46203</v>
      </c>
      <c r="I1061" t="s">
        <v>207</v>
      </c>
    </row>
    <row r="1062" spans="1:9">
      <c r="A1062">
        <v>51061</v>
      </c>
      <c r="B1062">
        <v>3087</v>
      </c>
      <c r="C1062">
        <v>2007</v>
      </c>
      <c r="D1062" s="7">
        <v>46193</v>
      </c>
      <c r="E1062" t="s">
        <v>208</v>
      </c>
      <c r="F1062" t="s">
        <v>215</v>
      </c>
      <c r="G1062">
        <v>60</v>
      </c>
      <c r="H1062" s="7"/>
      <c r="I1062" t="s">
        <v>209</v>
      </c>
    </row>
    <row r="1063" spans="1:9">
      <c r="A1063">
        <v>51062</v>
      </c>
      <c r="B1063">
        <v>3087</v>
      </c>
      <c r="C1063">
        <v>2007</v>
      </c>
      <c r="D1063" s="7">
        <v>46205</v>
      </c>
      <c r="E1063" t="s">
        <v>201</v>
      </c>
      <c r="F1063" t="s">
        <v>202</v>
      </c>
      <c r="G1063">
        <v>15</v>
      </c>
      <c r="H1063" s="7"/>
      <c r="I1063" t="s">
        <v>203</v>
      </c>
    </row>
    <row r="1064" spans="1:9">
      <c r="A1064">
        <v>51063</v>
      </c>
      <c r="B1064">
        <v>3087</v>
      </c>
      <c r="C1064">
        <v>2007</v>
      </c>
      <c r="D1064" s="7">
        <v>46206</v>
      </c>
      <c r="E1064" t="s">
        <v>219</v>
      </c>
      <c r="F1064" t="s">
        <v>202</v>
      </c>
      <c r="G1064">
        <v>30</v>
      </c>
      <c r="H1064" s="7"/>
      <c r="I1064" t="s">
        <v>203</v>
      </c>
    </row>
    <row r="1065" spans="1:9">
      <c r="A1065">
        <v>51064</v>
      </c>
      <c r="B1065">
        <v>3088</v>
      </c>
      <c r="C1065">
        <v>2015</v>
      </c>
      <c r="D1065" s="7">
        <v>45538</v>
      </c>
      <c r="E1065" t="s">
        <v>208</v>
      </c>
      <c r="F1065" t="s">
        <v>202</v>
      </c>
      <c r="G1065">
        <v>45</v>
      </c>
      <c r="H1065" s="7">
        <v>45552</v>
      </c>
      <c r="I1065" t="s">
        <v>216</v>
      </c>
    </row>
    <row r="1066" spans="1:9">
      <c r="A1066">
        <v>51065</v>
      </c>
      <c r="B1066">
        <v>3088</v>
      </c>
      <c r="C1066">
        <v>2015</v>
      </c>
      <c r="D1066" s="7">
        <v>45538</v>
      </c>
      <c r="E1066" t="s">
        <v>210</v>
      </c>
      <c r="F1066" t="s">
        <v>202</v>
      </c>
      <c r="G1066">
        <v>60</v>
      </c>
      <c r="H1066" s="7">
        <v>45552</v>
      </c>
      <c r="I1066" t="s">
        <v>217</v>
      </c>
    </row>
    <row r="1067" spans="1:9">
      <c r="A1067">
        <v>51066</v>
      </c>
      <c r="B1067">
        <v>3088</v>
      </c>
      <c r="C1067">
        <v>2015</v>
      </c>
      <c r="D1067" s="7">
        <v>45560</v>
      </c>
      <c r="E1067" t="s">
        <v>219</v>
      </c>
      <c r="F1067" t="s">
        <v>202</v>
      </c>
      <c r="G1067">
        <v>45</v>
      </c>
      <c r="H1067" s="7">
        <v>45581</v>
      </c>
      <c r="I1067" t="s">
        <v>209</v>
      </c>
    </row>
    <row r="1068" spans="1:9">
      <c r="A1068">
        <v>51067</v>
      </c>
      <c r="B1068">
        <v>3088</v>
      </c>
      <c r="C1068">
        <v>2015</v>
      </c>
      <c r="D1068" s="7">
        <v>45566</v>
      </c>
      <c r="E1068" t="s">
        <v>204</v>
      </c>
      <c r="F1068" t="s">
        <v>202</v>
      </c>
      <c r="G1068">
        <v>60</v>
      </c>
      <c r="H1068" s="7">
        <v>45569</v>
      </c>
      <c r="I1068" t="s">
        <v>216</v>
      </c>
    </row>
    <row r="1069" spans="1:9">
      <c r="A1069">
        <v>51068</v>
      </c>
      <c r="B1069">
        <v>3088</v>
      </c>
      <c r="C1069">
        <v>2015</v>
      </c>
      <c r="D1069" s="7">
        <v>45586</v>
      </c>
      <c r="E1069" t="s">
        <v>204</v>
      </c>
      <c r="F1069" t="s">
        <v>202</v>
      </c>
      <c r="G1069">
        <v>30</v>
      </c>
      <c r="H1069" s="7">
        <v>45589</v>
      </c>
      <c r="I1069" t="s">
        <v>209</v>
      </c>
    </row>
    <row r="1070" spans="1:9">
      <c r="A1070">
        <v>51069</v>
      </c>
      <c r="B1070">
        <v>3088</v>
      </c>
      <c r="C1070">
        <v>2015</v>
      </c>
      <c r="D1070" s="7">
        <v>45603</v>
      </c>
      <c r="E1070" t="s">
        <v>212</v>
      </c>
      <c r="F1070" t="s">
        <v>213</v>
      </c>
      <c r="H1070" s="7">
        <v>45610</v>
      </c>
      <c r="I1070" t="s">
        <v>216</v>
      </c>
    </row>
    <row r="1071" spans="1:9">
      <c r="A1071">
        <v>51070</v>
      </c>
      <c r="B1071">
        <v>3089</v>
      </c>
      <c r="C1071">
        <v>2011</v>
      </c>
      <c r="D1071" s="7">
        <v>46037</v>
      </c>
      <c r="E1071" t="s">
        <v>204</v>
      </c>
      <c r="F1071" t="s">
        <v>202</v>
      </c>
      <c r="G1071">
        <v>60</v>
      </c>
      <c r="H1071" s="7">
        <v>46040</v>
      </c>
      <c r="I1071" t="s">
        <v>216</v>
      </c>
    </row>
    <row r="1072" spans="1:9">
      <c r="A1072">
        <v>51071</v>
      </c>
      <c r="B1072">
        <v>3089</v>
      </c>
      <c r="C1072">
        <v>2011</v>
      </c>
      <c r="D1072" s="7">
        <v>46057</v>
      </c>
      <c r="E1072" t="s">
        <v>208</v>
      </c>
      <c r="F1072" t="s">
        <v>214</v>
      </c>
      <c r="H1072" s="7">
        <v>46071</v>
      </c>
      <c r="I1072" t="s">
        <v>203</v>
      </c>
    </row>
    <row r="1073" spans="1:9">
      <c r="A1073">
        <v>51072</v>
      </c>
      <c r="B1073">
        <v>3089</v>
      </c>
      <c r="C1073">
        <v>2011</v>
      </c>
      <c r="D1073" s="7">
        <v>46063</v>
      </c>
      <c r="E1073" t="s">
        <v>210</v>
      </c>
      <c r="F1073" t="s">
        <v>202</v>
      </c>
      <c r="G1073">
        <v>90</v>
      </c>
      <c r="H1073" s="7">
        <v>46070</v>
      </c>
      <c r="I1073" t="s">
        <v>206</v>
      </c>
    </row>
    <row r="1074" spans="1:9">
      <c r="A1074">
        <v>51073</v>
      </c>
      <c r="B1074">
        <v>3089</v>
      </c>
      <c r="C1074">
        <v>2011</v>
      </c>
      <c r="D1074" s="7">
        <v>46066</v>
      </c>
      <c r="E1074" t="s">
        <v>204</v>
      </c>
      <c r="F1074" t="s">
        <v>205</v>
      </c>
      <c r="H1074" s="7"/>
      <c r="I1074" t="s">
        <v>209</v>
      </c>
    </row>
    <row r="1075" spans="1:9">
      <c r="A1075">
        <v>51074</v>
      </c>
      <c r="B1075">
        <v>3089</v>
      </c>
      <c r="C1075">
        <v>2011</v>
      </c>
      <c r="D1075" s="7">
        <v>46080</v>
      </c>
      <c r="E1075" t="s">
        <v>201</v>
      </c>
      <c r="F1075" t="s">
        <v>213</v>
      </c>
      <c r="H1075" s="7">
        <v>46094</v>
      </c>
      <c r="I1075" t="s">
        <v>203</v>
      </c>
    </row>
    <row r="1076" spans="1:9">
      <c r="A1076">
        <v>51075</v>
      </c>
      <c r="B1076">
        <v>3089</v>
      </c>
      <c r="C1076">
        <v>2011</v>
      </c>
      <c r="D1076" s="7">
        <v>46083</v>
      </c>
      <c r="E1076" t="s">
        <v>201</v>
      </c>
      <c r="F1076" t="s">
        <v>213</v>
      </c>
      <c r="H1076" s="7">
        <v>46104</v>
      </c>
      <c r="I1076" t="s">
        <v>209</v>
      </c>
    </row>
    <row r="1077" spans="1:9">
      <c r="A1077">
        <v>51076</v>
      </c>
      <c r="B1077">
        <v>3089</v>
      </c>
      <c r="C1077">
        <v>2011</v>
      </c>
      <c r="D1077" s="7">
        <v>46107</v>
      </c>
      <c r="E1077" t="s">
        <v>219</v>
      </c>
      <c r="F1077" t="s">
        <v>202</v>
      </c>
      <c r="G1077">
        <v>60</v>
      </c>
      <c r="H1077" s="7">
        <v>46128</v>
      </c>
      <c r="I1077" t="s">
        <v>217</v>
      </c>
    </row>
    <row r="1078" spans="1:9">
      <c r="A1078">
        <v>51077</v>
      </c>
      <c r="B1078">
        <v>3089</v>
      </c>
      <c r="C1078">
        <v>2011</v>
      </c>
      <c r="D1078" s="7">
        <v>46130</v>
      </c>
      <c r="E1078" t="s">
        <v>208</v>
      </c>
      <c r="F1078" t="s">
        <v>202</v>
      </c>
      <c r="G1078">
        <v>10</v>
      </c>
      <c r="H1078" s="7">
        <v>46133</v>
      </c>
      <c r="I1078" t="s">
        <v>209</v>
      </c>
    </row>
    <row r="1079" spans="1:9">
      <c r="A1079">
        <v>51078</v>
      </c>
      <c r="B1079">
        <v>3089</v>
      </c>
      <c r="C1079">
        <v>2011</v>
      </c>
      <c r="D1079" s="7">
        <v>46133</v>
      </c>
      <c r="E1079" t="s">
        <v>208</v>
      </c>
      <c r="F1079" t="s">
        <v>202</v>
      </c>
      <c r="G1079">
        <v>10</v>
      </c>
      <c r="H1079" s="7">
        <v>46163</v>
      </c>
      <c r="I1079" t="s">
        <v>209</v>
      </c>
    </row>
    <row r="1080" spans="1:9">
      <c r="A1080">
        <v>51079</v>
      </c>
      <c r="B1080">
        <v>3089</v>
      </c>
      <c r="C1080">
        <v>2011</v>
      </c>
      <c r="D1080" s="7">
        <v>46136</v>
      </c>
      <c r="E1080" t="s">
        <v>208</v>
      </c>
      <c r="F1080" t="s">
        <v>213</v>
      </c>
      <c r="H1080" s="7">
        <v>46166</v>
      </c>
      <c r="I1080" t="s">
        <v>217</v>
      </c>
    </row>
    <row r="1081" spans="1:9">
      <c r="A1081">
        <v>51080</v>
      </c>
      <c r="B1081">
        <v>3089</v>
      </c>
      <c r="C1081">
        <v>2011</v>
      </c>
      <c r="D1081" s="7">
        <v>46154</v>
      </c>
      <c r="E1081" t="s">
        <v>212</v>
      </c>
      <c r="F1081" t="s">
        <v>214</v>
      </c>
      <c r="H1081" s="7">
        <v>46168</v>
      </c>
      <c r="I1081" t="s">
        <v>206</v>
      </c>
    </row>
    <row r="1082" spans="1:9">
      <c r="A1082">
        <v>51081</v>
      </c>
      <c r="B1082">
        <v>3089</v>
      </c>
      <c r="C1082">
        <v>2011</v>
      </c>
      <c r="D1082" s="7">
        <v>46155</v>
      </c>
      <c r="E1082" t="s">
        <v>208</v>
      </c>
      <c r="F1082" t="s">
        <v>202</v>
      </c>
      <c r="G1082">
        <v>30</v>
      </c>
      <c r="H1082" s="7">
        <v>46162</v>
      </c>
      <c r="I1082" t="s">
        <v>203</v>
      </c>
    </row>
    <row r="1083" spans="1:9">
      <c r="A1083">
        <v>51082</v>
      </c>
      <c r="B1083">
        <v>3089</v>
      </c>
      <c r="C1083">
        <v>2011</v>
      </c>
      <c r="D1083" s="7">
        <v>46155</v>
      </c>
      <c r="E1083" t="s">
        <v>204</v>
      </c>
      <c r="F1083" t="s">
        <v>202</v>
      </c>
      <c r="G1083">
        <v>30</v>
      </c>
      <c r="H1083" s="7">
        <v>46169</v>
      </c>
      <c r="I1083" t="s">
        <v>207</v>
      </c>
    </row>
    <row r="1084" spans="1:9">
      <c r="A1084">
        <v>51083</v>
      </c>
      <c r="B1084">
        <v>3089</v>
      </c>
      <c r="C1084">
        <v>2011</v>
      </c>
      <c r="D1084" s="7">
        <v>46174</v>
      </c>
      <c r="E1084" t="s">
        <v>204</v>
      </c>
      <c r="F1084" t="s">
        <v>202</v>
      </c>
      <c r="G1084">
        <v>45</v>
      </c>
      <c r="H1084" s="7">
        <v>46177</v>
      </c>
      <c r="I1084" t="s">
        <v>211</v>
      </c>
    </row>
    <row r="1085" spans="1:9">
      <c r="A1085">
        <v>51084</v>
      </c>
      <c r="B1085">
        <v>3089</v>
      </c>
      <c r="C1085">
        <v>2011</v>
      </c>
      <c r="D1085" s="7">
        <v>46196</v>
      </c>
      <c r="E1085" t="s">
        <v>201</v>
      </c>
      <c r="F1085" t="s">
        <v>202</v>
      </c>
      <c r="G1085">
        <v>15</v>
      </c>
      <c r="H1085" s="7"/>
      <c r="I1085" t="s">
        <v>203</v>
      </c>
    </row>
    <row r="1086" spans="1:9">
      <c r="A1086">
        <v>51085</v>
      </c>
      <c r="B1086">
        <v>3089</v>
      </c>
      <c r="C1086">
        <v>2011</v>
      </c>
      <c r="D1086" s="7">
        <v>46214</v>
      </c>
      <c r="E1086" t="s">
        <v>212</v>
      </c>
      <c r="F1086" t="s">
        <v>213</v>
      </c>
      <c r="H1086" s="7"/>
      <c r="I1086" t="s">
        <v>203</v>
      </c>
    </row>
    <row r="1087" spans="1:9">
      <c r="A1087">
        <v>51086</v>
      </c>
      <c r="B1087">
        <v>3090</v>
      </c>
      <c r="C1087">
        <v>2003</v>
      </c>
      <c r="D1087" s="7">
        <v>45881</v>
      </c>
      <c r="E1087" t="s">
        <v>212</v>
      </c>
      <c r="F1087" t="s">
        <v>218</v>
      </c>
      <c r="H1087" s="7"/>
      <c r="I1087" t="s">
        <v>207</v>
      </c>
    </row>
    <row r="1088" spans="1:9">
      <c r="A1088">
        <v>51087</v>
      </c>
      <c r="B1088">
        <v>3090</v>
      </c>
      <c r="C1088">
        <v>2003</v>
      </c>
      <c r="D1088" s="7">
        <v>45896</v>
      </c>
      <c r="E1088" t="s">
        <v>210</v>
      </c>
      <c r="F1088" t="s">
        <v>214</v>
      </c>
      <c r="H1088" s="7">
        <v>45899</v>
      </c>
      <c r="I1088" t="s">
        <v>207</v>
      </c>
    </row>
    <row r="1089" spans="1:9">
      <c r="A1089">
        <v>51088</v>
      </c>
      <c r="B1089">
        <v>3090</v>
      </c>
      <c r="C1089">
        <v>2003</v>
      </c>
      <c r="D1089" s="7">
        <v>45904</v>
      </c>
      <c r="E1089" t="s">
        <v>204</v>
      </c>
      <c r="F1089" t="s">
        <v>202</v>
      </c>
      <c r="G1089">
        <v>45</v>
      </c>
      <c r="H1089" s="7">
        <v>45911</v>
      </c>
      <c r="I1089" t="s">
        <v>203</v>
      </c>
    </row>
    <row r="1090" spans="1:9">
      <c r="A1090">
        <v>51089</v>
      </c>
      <c r="B1090">
        <v>3090</v>
      </c>
      <c r="C1090">
        <v>2003</v>
      </c>
      <c r="D1090" s="7">
        <v>45913</v>
      </c>
      <c r="E1090" t="s">
        <v>204</v>
      </c>
      <c r="F1090" t="s">
        <v>218</v>
      </c>
      <c r="H1090" s="7"/>
      <c r="I1090" t="s">
        <v>216</v>
      </c>
    </row>
    <row r="1091" spans="1:9">
      <c r="A1091">
        <v>51090</v>
      </c>
      <c r="B1091">
        <v>3090</v>
      </c>
      <c r="C1091">
        <v>2003</v>
      </c>
      <c r="D1091" s="7">
        <v>45938</v>
      </c>
      <c r="E1091" t="s">
        <v>212</v>
      </c>
      <c r="F1091" t="s">
        <v>214</v>
      </c>
      <c r="H1091" s="7">
        <v>45945</v>
      </c>
      <c r="I1091" t="s">
        <v>216</v>
      </c>
    </row>
    <row r="1092" spans="1:9">
      <c r="A1092">
        <v>51091</v>
      </c>
      <c r="B1092">
        <v>3090</v>
      </c>
      <c r="C1092">
        <v>2003</v>
      </c>
      <c r="D1092" s="7">
        <v>45965</v>
      </c>
      <c r="E1092" t="s">
        <v>212</v>
      </c>
      <c r="F1092" t="s">
        <v>202</v>
      </c>
      <c r="G1092">
        <v>10</v>
      </c>
      <c r="H1092" s="7">
        <v>45986</v>
      </c>
      <c r="I1092" t="s">
        <v>217</v>
      </c>
    </row>
    <row r="1093" spans="1:9">
      <c r="A1093">
        <v>51092</v>
      </c>
      <c r="B1093">
        <v>3090</v>
      </c>
      <c r="C1093">
        <v>2003</v>
      </c>
      <c r="D1093" s="7">
        <v>45990</v>
      </c>
      <c r="E1093" t="s">
        <v>210</v>
      </c>
      <c r="F1093" t="s">
        <v>205</v>
      </c>
      <c r="H1093" s="7"/>
      <c r="I1093" t="s">
        <v>203</v>
      </c>
    </row>
    <row r="1094" spans="1:9">
      <c r="A1094">
        <v>51093</v>
      </c>
      <c r="B1094">
        <v>3090</v>
      </c>
      <c r="C1094">
        <v>2003</v>
      </c>
      <c r="D1094" s="7">
        <v>46036</v>
      </c>
      <c r="E1094" t="s">
        <v>210</v>
      </c>
      <c r="F1094" t="s">
        <v>213</v>
      </c>
      <c r="H1094" s="7">
        <v>46039</v>
      </c>
      <c r="I1094" t="s">
        <v>206</v>
      </c>
    </row>
    <row r="1095" spans="1:9">
      <c r="A1095">
        <v>51094</v>
      </c>
      <c r="B1095">
        <v>3090</v>
      </c>
      <c r="C1095">
        <v>2003</v>
      </c>
      <c r="D1095" s="7">
        <v>46049</v>
      </c>
      <c r="E1095" t="s">
        <v>204</v>
      </c>
      <c r="F1095" t="s">
        <v>202</v>
      </c>
      <c r="G1095">
        <v>10</v>
      </c>
      <c r="H1095" s="7">
        <v>46079</v>
      </c>
      <c r="I1095" t="s">
        <v>209</v>
      </c>
    </row>
    <row r="1096" spans="1:9">
      <c r="A1096">
        <v>51095</v>
      </c>
      <c r="B1096">
        <v>3090</v>
      </c>
      <c r="C1096">
        <v>2003</v>
      </c>
      <c r="D1096" s="7">
        <v>46081</v>
      </c>
      <c r="E1096" t="s">
        <v>212</v>
      </c>
      <c r="F1096" t="s">
        <v>202</v>
      </c>
      <c r="G1096">
        <v>60</v>
      </c>
      <c r="H1096" s="7">
        <v>46102</v>
      </c>
      <c r="I1096" t="s">
        <v>211</v>
      </c>
    </row>
    <row r="1097" spans="1:9">
      <c r="A1097">
        <v>51096</v>
      </c>
      <c r="B1097">
        <v>3090</v>
      </c>
      <c r="C1097">
        <v>2003</v>
      </c>
      <c r="D1097" s="7">
        <v>46106</v>
      </c>
      <c r="E1097" t="s">
        <v>204</v>
      </c>
      <c r="F1097" t="s">
        <v>202</v>
      </c>
      <c r="G1097">
        <v>30</v>
      </c>
      <c r="H1097" s="7">
        <v>46127</v>
      </c>
      <c r="I1097" t="s">
        <v>206</v>
      </c>
    </row>
    <row r="1098" spans="1:9">
      <c r="A1098">
        <v>51097</v>
      </c>
      <c r="B1098">
        <v>3090</v>
      </c>
      <c r="C1098">
        <v>2003</v>
      </c>
      <c r="D1098" s="7">
        <v>46132</v>
      </c>
      <c r="E1098" t="s">
        <v>201</v>
      </c>
      <c r="F1098" t="s">
        <v>202</v>
      </c>
      <c r="G1098">
        <v>30</v>
      </c>
      <c r="H1098" s="7">
        <v>46153</v>
      </c>
      <c r="I1098" t="s">
        <v>216</v>
      </c>
    </row>
    <row r="1099" spans="1:9">
      <c r="A1099">
        <v>51098</v>
      </c>
      <c r="B1099">
        <v>3090</v>
      </c>
      <c r="C1099">
        <v>2003</v>
      </c>
      <c r="D1099" s="7">
        <v>46176</v>
      </c>
      <c r="E1099" t="s">
        <v>201</v>
      </c>
      <c r="F1099" t="s">
        <v>202</v>
      </c>
      <c r="G1099">
        <v>45</v>
      </c>
      <c r="H1099" s="7">
        <v>46183</v>
      </c>
      <c r="I1099" t="s">
        <v>211</v>
      </c>
    </row>
    <row r="1100" spans="1:9">
      <c r="A1100">
        <v>51099</v>
      </c>
      <c r="B1100">
        <v>3090</v>
      </c>
      <c r="C1100">
        <v>2003</v>
      </c>
      <c r="D1100" s="7">
        <v>46178</v>
      </c>
      <c r="E1100" t="s">
        <v>212</v>
      </c>
      <c r="F1100" t="s">
        <v>214</v>
      </c>
      <c r="H1100" s="7">
        <v>46181</v>
      </c>
      <c r="I1100" t="s">
        <v>206</v>
      </c>
    </row>
    <row r="1101" spans="1:9">
      <c r="A1101">
        <v>51100</v>
      </c>
      <c r="B1101">
        <v>3091</v>
      </c>
      <c r="C1101">
        <v>2014</v>
      </c>
      <c r="D1101" s="7">
        <v>45892</v>
      </c>
      <c r="E1101" t="s">
        <v>212</v>
      </c>
      <c r="F1101" t="s">
        <v>202</v>
      </c>
      <c r="G1101">
        <v>10</v>
      </c>
      <c r="H1101" s="7">
        <v>45895</v>
      </c>
      <c r="I1101" t="s">
        <v>211</v>
      </c>
    </row>
    <row r="1102" spans="1:9">
      <c r="A1102">
        <v>51101</v>
      </c>
      <c r="B1102">
        <v>3091</v>
      </c>
      <c r="C1102">
        <v>2014</v>
      </c>
      <c r="D1102" s="7">
        <v>45902</v>
      </c>
      <c r="E1102" t="s">
        <v>204</v>
      </c>
      <c r="F1102" t="s">
        <v>214</v>
      </c>
      <c r="H1102" s="7">
        <v>45909</v>
      </c>
      <c r="I1102" t="s">
        <v>207</v>
      </c>
    </row>
    <row r="1103" spans="1:9">
      <c r="A1103">
        <v>51102</v>
      </c>
      <c r="B1103">
        <v>3091</v>
      </c>
      <c r="C1103">
        <v>2014</v>
      </c>
      <c r="D1103" s="7">
        <v>45907</v>
      </c>
      <c r="E1103" t="s">
        <v>208</v>
      </c>
      <c r="F1103" t="s">
        <v>202</v>
      </c>
      <c r="G1103">
        <v>15</v>
      </c>
      <c r="H1103" s="7">
        <v>45914</v>
      </c>
      <c r="I1103" t="s">
        <v>207</v>
      </c>
    </row>
    <row r="1104" spans="1:9">
      <c r="A1104">
        <v>51103</v>
      </c>
      <c r="B1104">
        <v>3091</v>
      </c>
      <c r="C1104">
        <v>2014</v>
      </c>
      <c r="D1104" s="7">
        <v>45910</v>
      </c>
      <c r="E1104" t="s">
        <v>219</v>
      </c>
      <c r="F1104" t="s">
        <v>202</v>
      </c>
      <c r="G1104">
        <v>90</v>
      </c>
      <c r="H1104" s="7">
        <v>45940</v>
      </c>
      <c r="I1104" t="s">
        <v>209</v>
      </c>
    </row>
    <row r="1105" spans="1:9">
      <c r="A1105">
        <v>51104</v>
      </c>
      <c r="B1105">
        <v>3091</v>
      </c>
      <c r="C1105">
        <v>2014</v>
      </c>
      <c r="D1105" s="7">
        <v>46015</v>
      </c>
      <c r="E1105" t="s">
        <v>212</v>
      </c>
      <c r="F1105" t="s">
        <v>202</v>
      </c>
      <c r="G1105">
        <v>45</v>
      </c>
      <c r="H1105" s="7">
        <v>46022</v>
      </c>
      <c r="I1105" t="s">
        <v>203</v>
      </c>
    </row>
    <row r="1106" spans="1:9">
      <c r="A1106">
        <v>51105</v>
      </c>
      <c r="B1106">
        <v>3091</v>
      </c>
      <c r="C1106">
        <v>2014</v>
      </c>
      <c r="D1106" s="7">
        <v>46108</v>
      </c>
      <c r="E1106" t="s">
        <v>219</v>
      </c>
      <c r="F1106" t="s">
        <v>214</v>
      </c>
      <c r="H1106" s="7">
        <v>46129</v>
      </c>
      <c r="I1106" t="s">
        <v>211</v>
      </c>
    </row>
    <row r="1107" spans="1:9">
      <c r="A1107">
        <v>51106</v>
      </c>
      <c r="B1107">
        <v>3091</v>
      </c>
      <c r="C1107">
        <v>2014</v>
      </c>
      <c r="D1107" s="7">
        <v>46149</v>
      </c>
      <c r="E1107" t="s">
        <v>212</v>
      </c>
      <c r="F1107" t="s">
        <v>202</v>
      </c>
      <c r="G1107">
        <v>60</v>
      </c>
      <c r="H1107" s="7">
        <v>46152</v>
      </c>
      <c r="I1107" t="s">
        <v>207</v>
      </c>
    </row>
    <row r="1108" spans="1:9">
      <c r="A1108">
        <v>51107</v>
      </c>
      <c r="B1108">
        <v>3091</v>
      </c>
      <c r="C1108">
        <v>2014</v>
      </c>
      <c r="D1108" s="7">
        <v>46151</v>
      </c>
      <c r="E1108" t="s">
        <v>204</v>
      </c>
      <c r="F1108" t="s">
        <v>214</v>
      </c>
      <c r="H1108" s="7">
        <v>46154</v>
      </c>
      <c r="I1108" t="s">
        <v>211</v>
      </c>
    </row>
    <row r="1109" spans="1:9">
      <c r="A1109">
        <v>51108</v>
      </c>
      <c r="B1109">
        <v>3091</v>
      </c>
      <c r="C1109">
        <v>2014</v>
      </c>
      <c r="D1109" s="7">
        <v>46174</v>
      </c>
      <c r="E1109" t="s">
        <v>212</v>
      </c>
      <c r="F1109" t="s">
        <v>202</v>
      </c>
      <c r="G1109">
        <v>45</v>
      </c>
      <c r="H1109" s="7">
        <v>46188</v>
      </c>
      <c r="I1109" t="s">
        <v>203</v>
      </c>
    </row>
    <row r="1110" spans="1:9">
      <c r="A1110">
        <v>51109</v>
      </c>
      <c r="B1110">
        <v>3091</v>
      </c>
      <c r="C1110">
        <v>2014</v>
      </c>
      <c r="D1110" s="7">
        <v>46196</v>
      </c>
      <c r="E1110" t="s">
        <v>210</v>
      </c>
      <c r="F1110" t="s">
        <v>214</v>
      </c>
      <c r="H1110" s="7"/>
      <c r="I1110" t="s">
        <v>206</v>
      </c>
    </row>
    <row r="1111" spans="1:9">
      <c r="A1111">
        <v>51110</v>
      </c>
      <c r="B1111">
        <v>3092</v>
      </c>
      <c r="C1111">
        <v>2008</v>
      </c>
      <c r="D1111" s="7">
        <v>45778</v>
      </c>
      <c r="E1111" t="s">
        <v>210</v>
      </c>
      <c r="F1111" t="s">
        <v>202</v>
      </c>
      <c r="G1111">
        <v>20</v>
      </c>
      <c r="H1111" s="7">
        <v>45808</v>
      </c>
      <c r="I1111" t="s">
        <v>209</v>
      </c>
    </row>
    <row r="1112" spans="1:9">
      <c r="A1112">
        <v>51111</v>
      </c>
      <c r="B1112">
        <v>3092</v>
      </c>
      <c r="C1112">
        <v>2008</v>
      </c>
      <c r="D1112" s="7">
        <v>45818</v>
      </c>
      <c r="E1112" t="s">
        <v>201</v>
      </c>
      <c r="F1112" t="s">
        <v>215</v>
      </c>
      <c r="G1112">
        <v>45</v>
      </c>
      <c r="H1112" s="7">
        <v>45825</v>
      </c>
      <c r="I1112" t="s">
        <v>203</v>
      </c>
    </row>
    <row r="1113" spans="1:9">
      <c r="A1113">
        <v>51112</v>
      </c>
      <c r="B1113">
        <v>3092</v>
      </c>
      <c r="C1113">
        <v>2008</v>
      </c>
      <c r="D1113" s="7">
        <v>45891</v>
      </c>
      <c r="E1113" t="s">
        <v>210</v>
      </c>
      <c r="F1113" t="s">
        <v>214</v>
      </c>
      <c r="H1113" s="7">
        <v>45912</v>
      </c>
      <c r="I1113" t="s">
        <v>209</v>
      </c>
    </row>
    <row r="1114" spans="1:9">
      <c r="A1114">
        <v>51113</v>
      </c>
      <c r="B1114">
        <v>3092</v>
      </c>
      <c r="C1114">
        <v>2008</v>
      </c>
      <c r="D1114" s="7">
        <v>45919</v>
      </c>
      <c r="E1114" t="s">
        <v>204</v>
      </c>
      <c r="F1114" t="s">
        <v>202</v>
      </c>
      <c r="G1114">
        <v>90</v>
      </c>
      <c r="H1114" s="7">
        <v>45933</v>
      </c>
      <c r="I1114" t="s">
        <v>217</v>
      </c>
    </row>
    <row r="1115" spans="1:9">
      <c r="A1115">
        <v>51114</v>
      </c>
      <c r="B1115">
        <v>3092</v>
      </c>
      <c r="C1115">
        <v>2008</v>
      </c>
      <c r="D1115" s="7">
        <v>45951</v>
      </c>
      <c r="E1115" t="s">
        <v>212</v>
      </c>
      <c r="F1115" t="s">
        <v>202</v>
      </c>
      <c r="G1115">
        <v>20</v>
      </c>
      <c r="H1115" s="7">
        <v>45981</v>
      </c>
      <c r="I1115" t="s">
        <v>211</v>
      </c>
    </row>
    <row r="1116" spans="1:9">
      <c r="A1116">
        <v>51115</v>
      </c>
      <c r="B1116">
        <v>3092</v>
      </c>
      <c r="C1116">
        <v>2008</v>
      </c>
      <c r="D1116" s="7">
        <v>45983</v>
      </c>
      <c r="E1116" t="s">
        <v>201</v>
      </c>
      <c r="F1116" t="s">
        <v>202</v>
      </c>
      <c r="G1116">
        <v>60</v>
      </c>
      <c r="H1116" s="7">
        <v>45997</v>
      </c>
      <c r="I1116" t="s">
        <v>206</v>
      </c>
    </row>
    <row r="1117" spans="1:9">
      <c r="A1117">
        <v>51116</v>
      </c>
      <c r="B1117">
        <v>3092</v>
      </c>
      <c r="C1117">
        <v>2008</v>
      </c>
      <c r="D1117" s="7">
        <v>46093</v>
      </c>
      <c r="E1117" t="s">
        <v>201</v>
      </c>
      <c r="F1117" t="s">
        <v>202</v>
      </c>
      <c r="G1117">
        <v>20</v>
      </c>
      <c r="H1117" s="7">
        <v>46114</v>
      </c>
      <c r="I1117" t="s">
        <v>209</v>
      </c>
    </row>
    <row r="1118" spans="1:9">
      <c r="A1118">
        <v>51117</v>
      </c>
      <c r="B1118">
        <v>3092</v>
      </c>
      <c r="C1118">
        <v>2008</v>
      </c>
      <c r="D1118" s="7">
        <v>46103</v>
      </c>
      <c r="E1118" t="s">
        <v>212</v>
      </c>
      <c r="F1118" t="s">
        <v>202</v>
      </c>
      <c r="G1118">
        <v>60</v>
      </c>
      <c r="H1118" s="7">
        <v>46106</v>
      </c>
      <c r="I1118" t="s">
        <v>206</v>
      </c>
    </row>
    <row r="1119" spans="1:9">
      <c r="A1119">
        <v>51118</v>
      </c>
      <c r="B1119">
        <v>3092</v>
      </c>
      <c r="C1119">
        <v>2008</v>
      </c>
      <c r="D1119" s="7">
        <v>46155</v>
      </c>
      <c r="E1119" t="s">
        <v>210</v>
      </c>
      <c r="F1119" t="s">
        <v>213</v>
      </c>
      <c r="H1119" s="7">
        <v>46185</v>
      </c>
      <c r="I1119" t="s">
        <v>217</v>
      </c>
    </row>
    <row r="1120" spans="1:9">
      <c r="A1120">
        <v>51119</v>
      </c>
      <c r="B1120">
        <v>3092</v>
      </c>
      <c r="C1120">
        <v>2008</v>
      </c>
      <c r="D1120" s="7">
        <v>46210</v>
      </c>
      <c r="E1120" t="s">
        <v>212</v>
      </c>
      <c r="F1120" t="s">
        <v>214</v>
      </c>
      <c r="H1120" s="7"/>
      <c r="I1120" t="s">
        <v>203</v>
      </c>
    </row>
    <row r="1121" spans="1:9">
      <c r="A1121">
        <v>51120</v>
      </c>
      <c r="B1121">
        <v>3092</v>
      </c>
      <c r="C1121">
        <v>2008</v>
      </c>
      <c r="D1121" s="7">
        <v>46214</v>
      </c>
      <c r="E1121" t="s">
        <v>210</v>
      </c>
      <c r="F1121" t="s">
        <v>214</v>
      </c>
      <c r="H1121" s="7"/>
      <c r="I1121" t="s">
        <v>216</v>
      </c>
    </row>
    <row r="1122" spans="1:9">
      <c r="A1122">
        <v>51121</v>
      </c>
      <c r="B1122">
        <v>3093</v>
      </c>
      <c r="C1122">
        <v>2015</v>
      </c>
      <c r="D1122" s="7">
        <v>45835</v>
      </c>
      <c r="E1122" t="s">
        <v>201</v>
      </c>
      <c r="F1122" t="s">
        <v>213</v>
      </c>
      <c r="H1122" s="7">
        <v>45838</v>
      </c>
      <c r="I1122" t="s">
        <v>217</v>
      </c>
    </row>
    <row r="1123" spans="1:9">
      <c r="A1123">
        <v>51122</v>
      </c>
      <c r="B1123">
        <v>3093</v>
      </c>
      <c r="C1123">
        <v>2015</v>
      </c>
      <c r="D1123" s="7">
        <v>45878</v>
      </c>
      <c r="E1123" t="s">
        <v>212</v>
      </c>
      <c r="F1123" t="s">
        <v>202</v>
      </c>
      <c r="G1123">
        <v>20</v>
      </c>
      <c r="H1123" s="7">
        <v>45908</v>
      </c>
      <c r="I1123" t="s">
        <v>211</v>
      </c>
    </row>
    <row r="1124" spans="1:9">
      <c r="A1124">
        <v>51123</v>
      </c>
      <c r="B1124">
        <v>3093</v>
      </c>
      <c r="C1124">
        <v>2015</v>
      </c>
      <c r="D1124" s="7">
        <v>45909</v>
      </c>
      <c r="E1124" t="s">
        <v>219</v>
      </c>
      <c r="F1124" t="s">
        <v>213</v>
      </c>
      <c r="H1124" s="7">
        <v>45916</v>
      </c>
      <c r="I1124" t="s">
        <v>209</v>
      </c>
    </row>
    <row r="1125" spans="1:9">
      <c r="A1125">
        <v>51124</v>
      </c>
      <c r="B1125">
        <v>3093</v>
      </c>
      <c r="C1125">
        <v>2015</v>
      </c>
      <c r="D1125" s="7">
        <v>45941</v>
      </c>
      <c r="E1125" t="s">
        <v>219</v>
      </c>
      <c r="F1125" t="s">
        <v>214</v>
      </c>
      <c r="H1125" s="7">
        <v>45944</v>
      </c>
      <c r="I1125" t="s">
        <v>207</v>
      </c>
    </row>
    <row r="1126" spans="1:9">
      <c r="A1126">
        <v>51125</v>
      </c>
      <c r="B1126">
        <v>3093</v>
      </c>
      <c r="C1126">
        <v>2015</v>
      </c>
      <c r="D1126" s="7">
        <v>46018</v>
      </c>
      <c r="E1126" t="s">
        <v>219</v>
      </c>
      <c r="F1126" t="s">
        <v>202</v>
      </c>
      <c r="G1126">
        <v>20</v>
      </c>
      <c r="H1126" s="7">
        <v>46032</v>
      </c>
      <c r="I1126" t="s">
        <v>203</v>
      </c>
    </row>
    <row r="1127" spans="1:9">
      <c r="A1127">
        <v>51126</v>
      </c>
      <c r="B1127">
        <v>3093</v>
      </c>
      <c r="C1127">
        <v>2015</v>
      </c>
      <c r="D1127" s="7">
        <v>46035</v>
      </c>
      <c r="E1127" t="s">
        <v>212</v>
      </c>
      <c r="F1127" t="s">
        <v>215</v>
      </c>
      <c r="G1127">
        <v>45</v>
      </c>
      <c r="H1127" s="7">
        <v>46065</v>
      </c>
      <c r="I1127" t="s">
        <v>216</v>
      </c>
    </row>
    <row r="1128" spans="1:9">
      <c r="A1128">
        <v>51127</v>
      </c>
      <c r="B1128">
        <v>3093</v>
      </c>
      <c r="C1128">
        <v>2015</v>
      </c>
      <c r="D1128" s="7">
        <v>46043</v>
      </c>
      <c r="E1128" t="s">
        <v>208</v>
      </c>
      <c r="F1128" t="s">
        <v>202</v>
      </c>
      <c r="G1128">
        <v>45</v>
      </c>
      <c r="H1128" s="7">
        <v>46046</v>
      </c>
      <c r="I1128" t="s">
        <v>203</v>
      </c>
    </row>
    <row r="1129" spans="1:9">
      <c r="A1129">
        <v>51128</v>
      </c>
      <c r="B1129">
        <v>3094</v>
      </c>
      <c r="C1129">
        <v>2015</v>
      </c>
      <c r="D1129" s="7">
        <v>45840</v>
      </c>
      <c r="E1129" t="s">
        <v>208</v>
      </c>
      <c r="F1129" t="s">
        <v>213</v>
      </c>
      <c r="H1129" s="7">
        <v>45861</v>
      </c>
      <c r="I1129" t="s">
        <v>209</v>
      </c>
    </row>
    <row r="1130" spans="1:9">
      <c r="A1130">
        <v>51129</v>
      </c>
      <c r="B1130">
        <v>3094</v>
      </c>
      <c r="C1130">
        <v>2015</v>
      </c>
      <c r="D1130" s="7">
        <v>45917</v>
      </c>
      <c r="E1130" t="s">
        <v>201</v>
      </c>
      <c r="F1130" t="s">
        <v>215</v>
      </c>
      <c r="G1130">
        <v>10</v>
      </c>
      <c r="H1130" s="7">
        <v>45947</v>
      </c>
      <c r="I1130" t="s">
        <v>207</v>
      </c>
    </row>
    <row r="1131" spans="1:9">
      <c r="A1131">
        <v>51130</v>
      </c>
      <c r="B1131">
        <v>3094</v>
      </c>
      <c r="C1131">
        <v>2015</v>
      </c>
      <c r="D1131" s="7">
        <v>45972</v>
      </c>
      <c r="E1131" t="s">
        <v>210</v>
      </c>
      <c r="F1131" t="s">
        <v>218</v>
      </c>
      <c r="H1131" s="7"/>
      <c r="I1131" t="s">
        <v>203</v>
      </c>
    </row>
    <row r="1132" spans="1:9">
      <c r="A1132">
        <v>51131</v>
      </c>
      <c r="B1132">
        <v>3094</v>
      </c>
      <c r="C1132">
        <v>2015</v>
      </c>
      <c r="D1132" s="7">
        <v>46136</v>
      </c>
      <c r="E1132" t="s">
        <v>210</v>
      </c>
      <c r="F1132" t="s">
        <v>214</v>
      </c>
      <c r="H1132" s="7">
        <v>46157</v>
      </c>
      <c r="I1132" t="s">
        <v>216</v>
      </c>
    </row>
    <row r="1133" spans="1:9">
      <c r="A1133">
        <v>51132</v>
      </c>
      <c r="B1133">
        <v>3094</v>
      </c>
      <c r="C1133">
        <v>2015</v>
      </c>
      <c r="D1133" s="7">
        <v>46183</v>
      </c>
      <c r="E1133" t="s">
        <v>208</v>
      </c>
      <c r="F1133" t="s">
        <v>202</v>
      </c>
      <c r="G1133">
        <v>60</v>
      </c>
      <c r="H1133" s="7">
        <v>46204</v>
      </c>
      <c r="I1133" t="s">
        <v>217</v>
      </c>
    </row>
    <row r="1134" spans="1:9">
      <c r="A1134">
        <v>51133</v>
      </c>
      <c r="B1134">
        <v>3095</v>
      </c>
      <c r="C1134">
        <v>2006</v>
      </c>
      <c r="D1134" s="7">
        <v>45315</v>
      </c>
      <c r="E1134" t="s">
        <v>219</v>
      </c>
      <c r="F1134" t="s">
        <v>213</v>
      </c>
      <c r="H1134" s="7">
        <v>45336</v>
      </c>
      <c r="I1134" t="s">
        <v>217</v>
      </c>
    </row>
    <row r="1135" spans="1:9">
      <c r="A1135">
        <v>51134</v>
      </c>
      <c r="B1135">
        <v>3095</v>
      </c>
      <c r="C1135">
        <v>2006</v>
      </c>
      <c r="D1135" s="7">
        <v>45403</v>
      </c>
      <c r="E1135" t="s">
        <v>212</v>
      </c>
      <c r="F1135" t="s">
        <v>202</v>
      </c>
      <c r="G1135">
        <v>20</v>
      </c>
      <c r="H1135" s="7">
        <v>45433</v>
      </c>
      <c r="I1135" t="s">
        <v>211</v>
      </c>
    </row>
    <row r="1136" spans="1:9">
      <c r="A1136">
        <v>51135</v>
      </c>
      <c r="B1136">
        <v>3095</v>
      </c>
      <c r="C1136">
        <v>2006</v>
      </c>
      <c r="D1136" s="7">
        <v>45899</v>
      </c>
      <c r="E1136" t="s">
        <v>212</v>
      </c>
      <c r="F1136" t="s">
        <v>202</v>
      </c>
      <c r="G1136">
        <v>60</v>
      </c>
      <c r="H1136" s="7">
        <v>45902</v>
      </c>
      <c r="I1136" t="s">
        <v>216</v>
      </c>
    </row>
    <row r="1137" spans="1:9">
      <c r="A1137">
        <v>51136</v>
      </c>
      <c r="B1137">
        <v>3095</v>
      </c>
      <c r="C1137">
        <v>2006</v>
      </c>
      <c r="D1137" s="7">
        <v>46065</v>
      </c>
      <c r="E1137" t="s">
        <v>212</v>
      </c>
      <c r="F1137" t="s">
        <v>218</v>
      </c>
      <c r="H1137" s="7"/>
      <c r="I1137" t="s">
        <v>206</v>
      </c>
    </row>
    <row r="1138" spans="1:9">
      <c r="A1138">
        <v>51137</v>
      </c>
      <c r="B1138">
        <v>3096</v>
      </c>
      <c r="C1138">
        <v>2009</v>
      </c>
      <c r="D1138" s="7">
        <v>45329</v>
      </c>
      <c r="E1138" t="s">
        <v>212</v>
      </c>
      <c r="F1138" t="s">
        <v>215</v>
      </c>
      <c r="G1138">
        <v>45</v>
      </c>
      <c r="H1138" s="7">
        <v>45359</v>
      </c>
      <c r="I1138" t="s">
        <v>216</v>
      </c>
    </row>
    <row r="1139" spans="1:9">
      <c r="A1139">
        <v>51138</v>
      </c>
      <c r="B1139">
        <v>3096</v>
      </c>
      <c r="C1139">
        <v>2009</v>
      </c>
      <c r="D1139" s="7">
        <v>45333</v>
      </c>
      <c r="E1139" t="s">
        <v>201</v>
      </c>
      <c r="F1139" t="s">
        <v>214</v>
      </c>
      <c r="H1139" s="7">
        <v>45354</v>
      </c>
      <c r="I1139" t="s">
        <v>209</v>
      </c>
    </row>
    <row r="1140" spans="1:9">
      <c r="A1140">
        <v>51139</v>
      </c>
      <c r="B1140">
        <v>3096</v>
      </c>
      <c r="C1140">
        <v>2009</v>
      </c>
      <c r="D1140" s="7">
        <v>45338</v>
      </c>
      <c r="E1140" t="s">
        <v>212</v>
      </c>
      <c r="F1140" t="s">
        <v>215</v>
      </c>
      <c r="G1140">
        <v>10</v>
      </c>
      <c r="H1140" s="7">
        <v>45341</v>
      </c>
      <c r="I1140" t="s">
        <v>217</v>
      </c>
    </row>
    <row r="1141" spans="1:9">
      <c r="A1141">
        <v>51140</v>
      </c>
      <c r="B1141">
        <v>3096</v>
      </c>
      <c r="C1141">
        <v>2009</v>
      </c>
      <c r="D1141" s="7">
        <v>45339</v>
      </c>
      <c r="E1141" t="s">
        <v>210</v>
      </c>
      <c r="F1141" t="s">
        <v>213</v>
      </c>
      <c r="H1141" s="7">
        <v>45369</v>
      </c>
      <c r="I1141" t="s">
        <v>211</v>
      </c>
    </row>
    <row r="1142" spans="1:9">
      <c r="A1142">
        <v>51141</v>
      </c>
      <c r="B1142">
        <v>3096</v>
      </c>
      <c r="C1142">
        <v>2009</v>
      </c>
      <c r="D1142" s="7">
        <v>45340</v>
      </c>
      <c r="E1142" t="s">
        <v>204</v>
      </c>
      <c r="F1142" t="s">
        <v>202</v>
      </c>
      <c r="G1142">
        <v>45</v>
      </c>
      <c r="H1142" s="7">
        <v>45354</v>
      </c>
      <c r="I1142" t="s">
        <v>207</v>
      </c>
    </row>
    <row r="1143" spans="1:9">
      <c r="A1143">
        <v>51142</v>
      </c>
      <c r="B1143">
        <v>3096</v>
      </c>
      <c r="C1143">
        <v>2009</v>
      </c>
      <c r="D1143" s="7">
        <v>45340</v>
      </c>
      <c r="E1143" t="s">
        <v>201</v>
      </c>
      <c r="F1143" t="s">
        <v>215</v>
      </c>
      <c r="G1143">
        <v>15</v>
      </c>
      <c r="H1143" s="7">
        <v>45361</v>
      </c>
      <c r="I1143" t="s">
        <v>216</v>
      </c>
    </row>
    <row r="1144" spans="1:9">
      <c r="A1144">
        <v>51143</v>
      </c>
      <c r="B1144">
        <v>3096</v>
      </c>
      <c r="C1144">
        <v>2009</v>
      </c>
      <c r="D1144" s="7">
        <v>45341</v>
      </c>
      <c r="E1144" t="s">
        <v>208</v>
      </c>
      <c r="F1144" t="s">
        <v>202</v>
      </c>
      <c r="G1144">
        <v>15</v>
      </c>
      <c r="H1144" s="7">
        <v>45362</v>
      </c>
      <c r="I1144" t="s">
        <v>211</v>
      </c>
    </row>
    <row r="1145" spans="1:9">
      <c r="A1145">
        <v>51144</v>
      </c>
      <c r="B1145">
        <v>3096</v>
      </c>
      <c r="C1145">
        <v>2009</v>
      </c>
      <c r="D1145" s="7">
        <v>45346</v>
      </c>
      <c r="E1145" t="s">
        <v>219</v>
      </c>
      <c r="F1145" t="s">
        <v>202</v>
      </c>
      <c r="G1145">
        <v>10</v>
      </c>
      <c r="H1145" s="7">
        <v>45376</v>
      </c>
      <c r="I1145" t="s">
        <v>207</v>
      </c>
    </row>
    <row r="1146" spans="1:9">
      <c r="A1146">
        <v>51145</v>
      </c>
      <c r="B1146">
        <v>3096</v>
      </c>
      <c r="C1146">
        <v>2009</v>
      </c>
      <c r="D1146" s="7">
        <v>45348</v>
      </c>
      <c r="E1146" t="s">
        <v>204</v>
      </c>
      <c r="F1146" t="s">
        <v>202</v>
      </c>
      <c r="G1146">
        <v>30</v>
      </c>
      <c r="H1146" s="7">
        <v>45355</v>
      </c>
      <c r="I1146" t="s">
        <v>209</v>
      </c>
    </row>
    <row r="1147" spans="1:9">
      <c r="A1147">
        <v>51146</v>
      </c>
      <c r="B1147">
        <v>3097</v>
      </c>
      <c r="C1147">
        <v>2012</v>
      </c>
      <c r="D1147" s="7">
        <v>46102</v>
      </c>
      <c r="E1147" t="s">
        <v>208</v>
      </c>
      <c r="F1147" t="s">
        <v>202</v>
      </c>
      <c r="G1147">
        <v>15</v>
      </c>
      <c r="H1147" s="7">
        <v>46116</v>
      </c>
      <c r="I1147" t="s">
        <v>203</v>
      </c>
    </row>
    <row r="1148" spans="1:9">
      <c r="A1148">
        <v>51147</v>
      </c>
      <c r="B1148">
        <v>3097</v>
      </c>
      <c r="C1148">
        <v>2012</v>
      </c>
      <c r="D1148" s="7">
        <v>46106</v>
      </c>
      <c r="E1148" t="s">
        <v>201</v>
      </c>
      <c r="F1148" t="s">
        <v>215</v>
      </c>
      <c r="G1148">
        <v>90</v>
      </c>
      <c r="H1148" s="7">
        <v>46113</v>
      </c>
      <c r="I1148" t="s">
        <v>211</v>
      </c>
    </row>
    <row r="1149" spans="1:9">
      <c r="A1149">
        <v>51148</v>
      </c>
      <c r="B1149">
        <v>3097</v>
      </c>
      <c r="C1149">
        <v>2012</v>
      </c>
      <c r="D1149" s="7">
        <v>46127</v>
      </c>
      <c r="E1149" t="s">
        <v>212</v>
      </c>
      <c r="F1149" t="s">
        <v>214</v>
      </c>
      <c r="H1149" s="7">
        <v>46134</v>
      </c>
      <c r="I1149" t="s">
        <v>209</v>
      </c>
    </row>
    <row r="1150" spans="1:9">
      <c r="A1150">
        <v>51149</v>
      </c>
      <c r="B1150">
        <v>3097</v>
      </c>
      <c r="C1150">
        <v>2012</v>
      </c>
      <c r="D1150" s="7">
        <v>46164</v>
      </c>
      <c r="E1150" t="s">
        <v>204</v>
      </c>
      <c r="F1150" t="s">
        <v>214</v>
      </c>
      <c r="H1150" s="7">
        <v>46178</v>
      </c>
      <c r="I1150" t="s">
        <v>211</v>
      </c>
    </row>
    <row r="1151" spans="1:9">
      <c r="A1151">
        <v>51150</v>
      </c>
      <c r="B1151">
        <v>3097</v>
      </c>
      <c r="C1151">
        <v>2012</v>
      </c>
      <c r="D1151" s="7">
        <v>46173</v>
      </c>
      <c r="E1151" t="s">
        <v>212</v>
      </c>
      <c r="F1151" t="s">
        <v>202</v>
      </c>
      <c r="G1151">
        <v>20</v>
      </c>
      <c r="H1151" s="7">
        <v>46176</v>
      </c>
      <c r="I1151" t="s">
        <v>209</v>
      </c>
    </row>
    <row r="1152" spans="1:9">
      <c r="A1152">
        <v>51151</v>
      </c>
      <c r="B1152">
        <v>3097</v>
      </c>
      <c r="C1152">
        <v>2012</v>
      </c>
      <c r="D1152" s="7">
        <v>46176</v>
      </c>
      <c r="E1152" t="s">
        <v>204</v>
      </c>
      <c r="F1152" t="s">
        <v>215</v>
      </c>
      <c r="G1152">
        <v>20</v>
      </c>
      <c r="H1152" s="7">
        <v>46206</v>
      </c>
      <c r="I1152" t="s">
        <v>203</v>
      </c>
    </row>
    <row r="1153" spans="1:9">
      <c r="A1153">
        <v>51152</v>
      </c>
      <c r="B1153">
        <v>3097</v>
      </c>
      <c r="C1153">
        <v>2012</v>
      </c>
      <c r="D1153" s="7">
        <v>46176</v>
      </c>
      <c r="E1153" t="s">
        <v>204</v>
      </c>
      <c r="F1153" t="s">
        <v>202</v>
      </c>
      <c r="G1153">
        <v>30</v>
      </c>
      <c r="H1153" s="7">
        <v>46206</v>
      </c>
      <c r="I1153" t="s">
        <v>217</v>
      </c>
    </row>
    <row r="1154" spans="1:9">
      <c r="A1154">
        <v>51153</v>
      </c>
      <c r="B1154">
        <v>3097</v>
      </c>
      <c r="C1154">
        <v>2012</v>
      </c>
      <c r="D1154" s="7">
        <v>46177</v>
      </c>
      <c r="E1154" t="s">
        <v>210</v>
      </c>
      <c r="F1154" t="s">
        <v>218</v>
      </c>
      <c r="H1154" s="7"/>
      <c r="I1154" t="s">
        <v>209</v>
      </c>
    </row>
    <row r="1155" spans="1:9">
      <c r="A1155">
        <v>51154</v>
      </c>
      <c r="B1155">
        <v>3097</v>
      </c>
      <c r="C1155">
        <v>2012</v>
      </c>
      <c r="D1155" s="7">
        <v>46177</v>
      </c>
      <c r="E1155" t="s">
        <v>212</v>
      </c>
      <c r="F1155" t="s">
        <v>202</v>
      </c>
      <c r="G1155">
        <v>30</v>
      </c>
      <c r="H1155" s="7">
        <v>46191</v>
      </c>
      <c r="I1155" t="s">
        <v>211</v>
      </c>
    </row>
    <row r="1156" spans="1:9">
      <c r="A1156">
        <v>51155</v>
      </c>
      <c r="B1156">
        <v>3097</v>
      </c>
      <c r="C1156">
        <v>2012</v>
      </c>
      <c r="D1156" s="7">
        <v>46181</v>
      </c>
      <c r="E1156" t="s">
        <v>210</v>
      </c>
      <c r="F1156" t="s">
        <v>205</v>
      </c>
      <c r="H1156" s="7"/>
      <c r="I1156" t="s">
        <v>211</v>
      </c>
    </row>
    <row r="1157" spans="1:9">
      <c r="A1157">
        <v>51156</v>
      </c>
      <c r="B1157">
        <v>3097</v>
      </c>
      <c r="C1157">
        <v>2012</v>
      </c>
      <c r="D1157" s="7">
        <v>46182</v>
      </c>
      <c r="E1157" t="s">
        <v>219</v>
      </c>
      <c r="F1157" t="s">
        <v>202</v>
      </c>
      <c r="G1157">
        <v>20</v>
      </c>
      <c r="H1157" s="7">
        <v>46203</v>
      </c>
      <c r="I1157" t="s">
        <v>203</v>
      </c>
    </row>
    <row r="1158" spans="1:9">
      <c r="A1158">
        <v>51157</v>
      </c>
      <c r="B1158">
        <v>3097</v>
      </c>
      <c r="C1158">
        <v>2012</v>
      </c>
      <c r="D1158" s="7">
        <v>46184</v>
      </c>
      <c r="E1158" t="s">
        <v>201</v>
      </c>
      <c r="F1158" t="s">
        <v>202</v>
      </c>
      <c r="G1158">
        <v>20</v>
      </c>
      <c r="H1158" s="7">
        <v>46191</v>
      </c>
      <c r="I1158" t="s">
        <v>206</v>
      </c>
    </row>
    <row r="1159" spans="1:9">
      <c r="A1159">
        <v>51158</v>
      </c>
      <c r="B1159">
        <v>3097</v>
      </c>
      <c r="C1159">
        <v>2012</v>
      </c>
      <c r="D1159" s="7">
        <v>46184</v>
      </c>
      <c r="E1159" t="s">
        <v>212</v>
      </c>
      <c r="F1159" t="s">
        <v>218</v>
      </c>
      <c r="H1159" s="7"/>
      <c r="I1159" t="s">
        <v>211</v>
      </c>
    </row>
    <row r="1160" spans="1:9">
      <c r="A1160">
        <v>51159</v>
      </c>
      <c r="B1160">
        <v>3097</v>
      </c>
      <c r="C1160">
        <v>2012</v>
      </c>
      <c r="D1160" s="7">
        <v>46186</v>
      </c>
      <c r="E1160" t="s">
        <v>212</v>
      </c>
      <c r="F1160" t="s">
        <v>202</v>
      </c>
      <c r="G1160">
        <v>15</v>
      </c>
      <c r="H1160" s="7">
        <v>46189</v>
      </c>
      <c r="I1160" t="s">
        <v>207</v>
      </c>
    </row>
    <row r="1161" spans="1:9">
      <c r="A1161">
        <v>51160</v>
      </c>
      <c r="B1161">
        <v>3097</v>
      </c>
      <c r="C1161">
        <v>2012</v>
      </c>
      <c r="D1161" s="7">
        <v>46189</v>
      </c>
      <c r="E1161" t="s">
        <v>210</v>
      </c>
      <c r="F1161" t="s">
        <v>213</v>
      </c>
      <c r="H1161" s="7">
        <v>46203</v>
      </c>
      <c r="I1161" t="s">
        <v>209</v>
      </c>
    </row>
    <row r="1162" spans="1:9">
      <c r="A1162">
        <v>51161</v>
      </c>
      <c r="B1162">
        <v>3097</v>
      </c>
      <c r="C1162">
        <v>2012</v>
      </c>
      <c r="D1162" s="7">
        <v>46198</v>
      </c>
      <c r="E1162" t="s">
        <v>208</v>
      </c>
      <c r="F1162" t="s">
        <v>202</v>
      </c>
      <c r="G1162">
        <v>20</v>
      </c>
      <c r="H1162" s="7">
        <v>46201</v>
      </c>
      <c r="I1162" t="s">
        <v>216</v>
      </c>
    </row>
    <row r="1163" spans="1:9">
      <c r="A1163">
        <v>51162</v>
      </c>
      <c r="B1163">
        <v>3097</v>
      </c>
      <c r="C1163">
        <v>2012</v>
      </c>
      <c r="D1163" s="7">
        <v>46198</v>
      </c>
      <c r="E1163" t="s">
        <v>204</v>
      </c>
      <c r="F1163" t="s">
        <v>214</v>
      </c>
      <c r="H1163" s="7"/>
      <c r="I1163" t="s">
        <v>206</v>
      </c>
    </row>
    <row r="1164" spans="1:9">
      <c r="A1164">
        <v>51163</v>
      </c>
      <c r="B1164">
        <v>3097</v>
      </c>
      <c r="C1164">
        <v>2012</v>
      </c>
      <c r="D1164" s="7">
        <v>46200</v>
      </c>
      <c r="E1164" t="s">
        <v>212</v>
      </c>
      <c r="F1164" t="s">
        <v>214</v>
      </c>
      <c r="H1164" s="7"/>
      <c r="I1164" t="s">
        <v>211</v>
      </c>
    </row>
    <row r="1165" spans="1:9">
      <c r="A1165">
        <v>51164</v>
      </c>
      <c r="B1165">
        <v>3097</v>
      </c>
      <c r="C1165">
        <v>2012</v>
      </c>
      <c r="D1165" s="7">
        <v>46203</v>
      </c>
      <c r="E1165" t="s">
        <v>212</v>
      </c>
      <c r="F1165" t="s">
        <v>202</v>
      </c>
      <c r="G1165">
        <v>90</v>
      </c>
      <c r="H1165" s="7"/>
      <c r="I1165" t="s">
        <v>211</v>
      </c>
    </row>
    <row r="1166" spans="1:9">
      <c r="A1166">
        <v>51165</v>
      </c>
      <c r="B1166">
        <v>3097</v>
      </c>
      <c r="C1166">
        <v>2012</v>
      </c>
      <c r="D1166" s="7">
        <v>46214</v>
      </c>
      <c r="E1166" t="s">
        <v>201</v>
      </c>
      <c r="F1166" t="s">
        <v>213</v>
      </c>
      <c r="H1166" s="7"/>
      <c r="I1166" t="s">
        <v>207</v>
      </c>
    </row>
    <row r="1167" spans="1:9">
      <c r="A1167">
        <v>51166</v>
      </c>
      <c r="B1167">
        <v>3098</v>
      </c>
      <c r="C1167">
        <v>2003</v>
      </c>
      <c r="D1167" s="7">
        <v>45451</v>
      </c>
      <c r="E1167" t="s">
        <v>212</v>
      </c>
      <c r="F1167" t="s">
        <v>202</v>
      </c>
      <c r="G1167">
        <v>15</v>
      </c>
      <c r="H1167" s="7">
        <v>45481</v>
      </c>
      <c r="I1167" t="s">
        <v>203</v>
      </c>
    </row>
    <row r="1168" spans="1:9">
      <c r="A1168">
        <v>51167</v>
      </c>
      <c r="B1168">
        <v>3098</v>
      </c>
      <c r="C1168">
        <v>2003</v>
      </c>
      <c r="D1168" s="7">
        <v>45515</v>
      </c>
      <c r="E1168" t="s">
        <v>212</v>
      </c>
      <c r="F1168" t="s">
        <v>202</v>
      </c>
      <c r="G1168">
        <v>45</v>
      </c>
      <c r="H1168" s="7">
        <v>45518</v>
      </c>
      <c r="I1168" t="s">
        <v>211</v>
      </c>
    </row>
    <row r="1169" spans="1:9">
      <c r="A1169">
        <v>51168</v>
      </c>
      <c r="B1169">
        <v>3098</v>
      </c>
      <c r="C1169">
        <v>2003</v>
      </c>
      <c r="D1169" s="7">
        <v>45532</v>
      </c>
      <c r="E1169" t="s">
        <v>204</v>
      </c>
      <c r="F1169" t="s">
        <v>213</v>
      </c>
      <c r="H1169" s="7">
        <v>45535</v>
      </c>
      <c r="I1169" t="s">
        <v>217</v>
      </c>
    </row>
    <row r="1170" spans="1:9">
      <c r="A1170">
        <v>51169</v>
      </c>
      <c r="B1170">
        <v>3098</v>
      </c>
      <c r="C1170">
        <v>2003</v>
      </c>
      <c r="D1170" s="7">
        <v>45592</v>
      </c>
      <c r="E1170" t="s">
        <v>201</v>
      </c>
      <c r="F1170" t="s">
        <v>214</v>
      </c>
      <c r="H1170" s="7">
        <v>45599</v>
      </c>
      <c r="I1170" t="s">
        <v>209</v>
      </c>
    </row>
    <row r="1171" spans="1:9">
      <c r="A1171">
        <v>51170</v>
      </c>
      <c r="B1171">
        <v>3098</v>
      </c>
      <c r="C1171">
        <v>2003</v>
      </c>
      <c r="D1171" s="7">
        <v>45655</v>
      </c>
      <c r="E1171" t="s">
        <v>204</v>
      </c>
      <c r="F1171" t="s">
        <v>202</v>
      </c>
      <c r="G1171">
        <v>45</v>
      </c>
      <c r="H1171" s="7">
        <v>45676</v>
      </c>
      <c r="I1171" t="s">
        <v>216</v>
      </c>
    </row>
    <row r="1172" spans="1:9">
      <c r="A1172">
        <v>51171</v>
      </c>
      <c r="B1172">
        <v>3098</v>
      </c>
      <c r="C1172">
        <v>2003</v>
      </c>
      <c r="D1172" s="7">
        <v>45735</v>
      </c>
      <c r="E1172" t="s">
        <v>201</v>
      </c>
      <c r="F1172" t="s">
        <v>202</v>
      </c>
      <c r="G1172">
        <v>45</v>
      </c>
      <c r="H1172" s="7">
        <v>45765</v>
      </c>
      <c r="I1172" t="s">
        <v>206</v>
      </c>
    </row>
    <row r="1173" spans="1:9">
      <c r="A1173">
        <v>51172</v>
      </c>
      <c r="B1173">
        <v>3098</v>
      </c>
      <c r="C1173">
        <v>2003</v>
      </c>
      <c r="D1173" s="7">
        <v>45787</v>
      </c>
      <c r="E1173" t="s">
        <v>212</v>
      </c>
      <c r="F1173" t="s">
        <v>202</v>
      </c>
      <c r="G1173">
        <v>45</v>
      </c>
      <c r="H1173" s="7">
        <v>45794</v>
      </c>
      <c r="I1173" t="s">
        <v>207</v>
      </c>
    </row>
    <row r="1174" spans="1:9">
      <c r="A1174">
        <v>51173</v>
      </c>
      <c r="B1174">
        <v>3098</v>
      </c>
      <c r="C1174">
        <v>2003</v>
      </c>
      <c r="D1174" s="7">
        <v>45994</v>
      </c>
      <c r="E1174" t="s">
        <v>219</v>
      </c>
      <c r="F1174" t="s">
        <v>214</v>
      </c>
      <c r="H1174" s="7">
        <v>45997</v>
      </c>
      <c r="I1174" t="s">
        <v>206</v>
      </c>
    </row>
    <row r="1175" spans="1:9">
      <c r="A1175">
        <v>51174</v>
      </c>
      <c r="B1175">
        <v>3098</v>
      </c>
      <c r="C1175">
        <v>2003</v>
      </c>
      <c r="D1175" s="7">
        <v>46001</v>
      </c>
      <c r="E1175" t="s">
        <v>201</v>
      </c>
      <c r="F1175" t="s">
        <v>214</v>
      </c>
      <c r="H1175" s="7">
        <v>46031</v>
      </c>
      <c r="I1175" t="s">
        <v>203</v>
      </c>
    </row>
    <row r="1176" spans="1:9">
      <c r="A1176">
        <v>51175</v>
      </c>
      <c r="B1176">
        <v>3098</v>
      </c>
      <c r="C1176">
        <v>2003</v>
      </c>
      <c r="D1176" s="7">
        <v>46057</v>
      </c>
      <c r="E1176" t="s">
        <v>212</v>
      </c>
      <c r="F1176" t="s">
        <v>202</v>
      </c>
      <c r="G1176">
        <v>30</v>
      </c>
      <c r="H1176" s="7">
        <v>46064</v>
      </c>
      <c r="I1176" t="s">
        <v>206</v>
      </c>
    </row>
    <row r="1177" spans="1:9">
      <c r="A1177">
        <v>51176</v>
      </c>
      <c r="B1177">
        <v>3098</v>
      </c>
      <c r="C1177">
        <v>2003</v>
      </c>
      <c r="D1177" s="7">
        <v>46111</v>
      </c>
      <c r="E1177" t="s">
        <v>208</v>
      </c>
      <c r="F1177" t="s">
        <v>218</v>
      </c>
      <c r="H1177" s="7"/>
      <c r="I1177" t="s">
        <v>217</v>
      </c>
    </row>
    <row r="1178" spans="1:9">
      <c r="A1178">
        <v>51177</v>
      </c>
      <c r="B1178">
        <v>3099</v>
      </c>
      <c r="C1178">
        <v>2014</v>
      </c>
      <c r="D1178" s="7">
        <v>45999</v>
      </c>
      <c r="E1178" t="s">
        <v>212</v>
      </c>
      <c r="F1178" t="s">
        <v>213</v>
      </c>
      <c r="H1178" s="7">
        <v>46013</v>
      </c>
      <c r="I1178" t="s">
        <v>207</v>
      </c>
    </row>
    <row r="1179" spans="1:9">
      <c r="A1179">
        <v>51178</v>
      </c>
      <c r="B1179">
        <v>3099</v>
      </c>
      <c r="C1179">
        <v>2014</v>
      </c>
      <c r="D1179" s="7">
        <v>46059</v>
      </c>
      <c r="E1179" t="s">
        <v>201</v>
      </c>
      <c r="F1179" t="s">
        <v>202</v>
      </c>
      <c r="G1179">
        <v>30</v>
      </c>
      <c r="H1179" s="7">
        <v>46062</v>
      </c>
      <c r="I1179" t="s">
        <v>209</v>
      </c>
    </row>
    <row r="1180" spans="1:9">
      <c r="A1180">
        <v>51179</v>
      </c>
      <c r="B1180">
        <v>3099</v>
      </c>
      <c r="C1180">
        <v>2014</v>
      </c>
      <c r="D1180" s="7">
        <v>46077</v>
      </c>
      <c r="E1180" t="s">
        <v>212</v>
      </c>
      <c r="F1180" t="s">
        <v>215</v>
      </c>
      <c r="G1180">
        <v>30</v>
      </c>
      <c r="H1180" s="7">
        <v>46080</v>
      </c>
      <c r="I1180" t="s">
        <v>203</v>
      </c>
    </row>
    <row r="1181" spans="1:9">
      <c r="A1181">
        <v>51180</v>
      </c>
      <c r="B1181">
        <v>3099</v>
      </c>
      <c r="C1181">
        <v>2014</v>
      </c>
      <c r="D1181" s="7">
        <v>46120</v>
      </c>
      <c r="E1181" t="s">
        <v>210</v>
      </c>
      <c r="F1181" t="s">
        <v>215</v>
      </c>
      <c r="G1181">
        <v>10</v>
      </c>
      <c r="H1181" s="7">
        <v>46123</v>
      </c>
      <c r="I1181" t="s">
        <v>203</v>
      </c>
    </row>
    <row r="1182" spans="1:9">
      <c r="A1182">
        <v>51181</v>
      </c>
      <c r="B1182">
        <v>3099</v>
      </c>
      <c r="C1182">
        <v>2014</v>
      </c>
      <c r="D1182" s="7">
        <v>46137</v>
      </c>
      <c r="E1182" t="s">
        <v>219</v>
      </c>
      <c r="F1182" t="s">
        <v>202</v>
      </c>
      <c r="G1182">
        <v>30</v>
      </c>
      <c r="H1182" s="7">
        <v>46167</v>
      </c>
      <c r="I1182" t="s">
        <v>203</v>
      </c>
    </row>
    <row r="1183" spans="1:9">
      <c r="A1183">
        <v>51182</v>
      </c>
      <c r="B1183">
        <v>3099</v>
      </c>
      <c r="C1183">
        <v>2014</v>
      </c>
      <c r="D1183" s="7">
        <v>46169</v>
      </c>
      <c r="E1183" t="s">
        <v>201</v>
      </c>
      <c r="F1183" t="s">
        <v>202</v>
      </c>
      <c r="G1183">
        <v>10</v>
      </c>
      <c r="H1183" s="7">
        <v>46176</v>
      </c>
      <c r="I1183" t="s">
        <v>207</v>
      </c>
    </row>
    <row r="1184" spans="1:9">
      <c r="A1184">
        <v>51183</v>
      </c>
      <c r="B1184">
        <v>3099</v>
      </c>
      <c r="C1184">
        <v>2014</v>
      </c>
      <c r="D1184" s="7">
        <v>46184</v>
      </c>
      <c r="E1184" t="s">
        <v>219</v>
      </c>
      <c r="F1184" t="s">
        <v>205</v>
      </c>
      <c r="H1184" s="7"/>
      <c r="I1184" t="s">
        <v>216</v>
      </c>
    </row>
    <row r="1185" spans="1:9">
      <c r="A1185">
        <v>51184</v>
      </c>
      <c r="B1185">
        <v>3100</v>
      </c>
      <c r="C1185">
        <v>2013</v>
      </c>
      <c r="D1185" s="7">
        <v>45744</v>
      </c>
      <c r="E1185" t="s">
        <v>212</v>
      </c>
      <c r="F1185" t="s">
        <v>202</v>
      </c>
      <c r="G1185">
        <v>10</v>
      </c>
      <c r="H1185" s="7">
        <v>45751</v>
      </c>
      <c r="I1185" t="s">
        <v>203</v>
      </c>
    </row>
    <row r="1186" spans="1:9">
      <c r="A1186">
        <v>51185</v>
      </c>
      <c r="B1186">
        <v>3100</v>
      </c>
      <c r="C1186">
        <v>2013</v>
      </c>
      <c r="D1186" s="7">
        <v>45781</v>
      </c>
      <c r="E1186" t="s">
        <v>212</v>
      </c>
      <c r="F1186" t="s">
        <v>202</v>
      </c>
      <c r="G1186">
        <v>45</v>
      </c>
      <c r="H1186" s="7">
        <v>45802</v>
      </c>
      <c r="I1186" t="s">
        <v>209</v>
      </c>
    </row>
    <row r="1187" spans="1:9">
      <c r="A1187">
        <v>51186</v>
      </c>
      <c r="B1187">
        <v>3100</v>
      </c>
      <c r="C1187">
        <v>2013</v>
      </c>
      <c r="D1187" s="7">
        <v>45787</v>
      </c>
      <c r="E1187" t="s">
        <v>212</v>
      </c>
      <c r="F1187" t="s">
        <v>205</v>
      </c>
      <c r="H1187" s="7"/>
      <c r="I1187" t="s">
        <v>207</v>
      </c>
    </row>
    <row r="1188" spans="1:9">
      <c r="A1188">
        <v>51187</v>
      </c>
      <c r="B1188">
        <v>3100</v>
      </c>
      <c r="C1188">
        <v>2013</v>
      </c>
      <c r="D1188" s="7">
        <v>45849</v>
      </c>
      <c r="E1188" t="s">
        <v>201</v>
      </c>
      <c r="F1188" t="s">
        <v>202</v>
      </c>
      <c r="G1188">
        <v>30</v>
      </c>
      <c r="H1188" s="7">
        <v>45852</v>
      </c>
      <c r="I1188" t="s">
        <v>217</v>
      </c>
    </row>
    <row r="1189" spans="1:9">
      <c r="A1189">
        <v>51188</v>
      </c>
      <c r="B1189">
        <v>3100</v>
      </c>
      <c r="C1189">
        <v>2013</v>
      </c>
      <c r="D1189" s="7">
        <v>45867</v>
      </c>
      <c r="E1189" t="s">
        <v>210</v>
      </c>
      <c r="F1189" t="s">
        <v>202</v>
      </c>
      <c r="G1189">
        <v>20</v>
      </c>
      <c r="H1189" s="7">
        <v>45870</v>
      </c>
      <c r="I1189" t="s">
        <v>203</v>
      </c>
    </row>
    <row r="1190" spans="1:9">
      <c r="A1190">
        <v>51189</v>
      </c>
      <c r="B1190">
        <v>3100</v>
      </c>
      <c r="C1190">
        <v>2013</v>
      </c>
      <c r="D1190" s="7">
        <v>45896</v>
      </c>
      <c r="E1190" t="s">
        <v>208</v>
      </c>
      <c r="F1190" t="s">
        <v>214</v>
      </c>
      <c r="H1190" s="7">
        <v>45903</v>
      </c>
      <c r="I1190" t="s">
        <v>206</v>
      </c>
    </row>
    <row r="1191" spans="1:9">
      <c r="A1191">
        <v>51190</v>
      </c>
      <c r="B1191">
        <v>3100</v>
      </c>
      <c r="C1191">
        <v>2013</v>
      </c>
      <c r="D1191" s="7">
        <v>45920</v>
      </c>
      <c r="E1191" t="s">
        <v>208</v>
      </c>
      <c r="F1191" t="s">
        <v>202</v>
      </c>
      <c r="G1191">
        <v>60</v>
      </c>
      <c r="H1191" s="7">
        <v>45941</v>
      </c>
      <c r="I1191" t="s">
        <v>211</v>
      </c>
    </row>
    <row r="1192" spans="1:9">
      <c r="A1192">
        <v>51191</v>
      </c>
      <c r="B1192">
        <v>3100</v>
      </c>
      <c r="C1192">
        <v>2013</v>
      </c>
      <c r="D1192" s="7">
        <v>45946</v>
      </c>
      <c r="E1192" t="s">
        <v>204</v>
      </c>
      <c r="F1192" t="s">
        <v>205</v>
      </c>
      <c r="H1192" s="7"/>
      <c r="I1192" t="s">
        <v>203</v>
      </c>
    </row>
    <row r="1193" spans="1:9">
      <c r="A1193">
        <v>51192</v>
      </c>
      <c r="B1193">
        <v>3100</v>
      </c>
      <c r="C1193">
        <v>2013</v>
      </c>
      <c r="D1193" s="7">
        <v>45966</v>
      </c>
      <c r="E1193" t="s">
        <v>212</v>
      </c>
      <c r="F1193" t="s">
        <v>202</v>
      </c>
      <c r="G1193">
        <v>15</v>
      </c>
      <c r="H1193" s="7">
        <v>45980</v>
      </c>
      <c r="I1193" t="s">
        <v>203</v>
      </c>
    </row>
    <row r="1194" spans="1:9">
      <c r="A1194">
        <v>51193</v>
      </c>
      <c r="B1194">
        <v>3100</v>
      </c>
      <c r="C1194">
        <v>2013</v>
      </c>
      <c r="D1194" s="7">
        <v>46003</v>
      </c>
      <c r="E1194" t="s">
        <v>208</v>
      </c>
      <c r="F1194" t="s">
        <v>202</v>
      </c>
      <c r="G1194">
        <v>60</v>
      </c>
      <c r="H1194" s="7">
        <v>46017</v>
      </c>
      <c r="I1194" t="s">
        <v>211</v>
      </c>
    </row>
    <row r="1195" spans="1:9">
      <c r="A1195">
        <v>51194</v>
      </c>
      <c r="B1195">
        <v>3100</v>
      </c>
      <c r="C1195">
        <v>2013</v>
      </c>
      <c r="D1195" s="7">
        <v>46010</v>
      </c>
      <c r="E1195" t="s">
        <v>204</v>
      </c>
      <c r="F1195" t="s">
        <v>214</v>
      </c>
      <c r="H1195" s="7">
        <v>46024</v>
      </c>
      <c r="I1195" t="s">
        <v>211</v>
      </c>
    </row>
    <row r="1196" spans="1:9">
      <c r="A1196">
        <v>51195</v>
      </c>
      <c r="B1196">
        <v>3100</v>
      </c>
      <c r="C1196">
        <v>2013</v>
      </c>
      <c r="D1196" s="7">
        <v>46033</v>
      </c>
      <c r="E1196" t="s">
        <v>210</v>
      </c>
      <c r="F1196" t="s">
        <v>218</v>
      </c>
      <c r="H1196" s="7"/>
      <c r="I1196" t="s">
        <v>203</v>
      </c>
    </row>
    <row r="1197" spans="1:9">
      <c r="A1197">
        <v>51196</v>
      </c>
      <c r="B1197">
        <v>3100</v>
      </c>
      <c r="C1197">
        <v>2013</v>
      </c>
      <c r="D1197" s="7">
        <v>46053</v>
      </c>
      <c r="E1197" t="s">
        <v>212</v>
      </c>
      <c r="F1197" t="s">
        <v>202</v>
      </c>
      <c r="G1197">
        <v>90</v>
      </c>
      <c r="H1197" s="7">
        <v>46083</v>
      </c>
      <c r="I1197" t="s">
        <v>216</v>
      </c>
    </row>
    <row r="1198" spans="1:9">
      <c r="A1198">
        <v>51197</v>
      </c>
      <c r="B1198">
        <v>3100</v>
      </c>
      <c r="C1198">
        <v>2013</v>
      </c>
      <c r="D1198" s="7">
        <v>46154</v>
      </c>
      <c r="E1198" t="s">
        <v>219</v>
      </c>
      <c r="F1198" t="s">
        <v>202</v>
      </c>
      <c r="G1198">
        <v>20</v>
      </c>
      <c r="H1198" s="7">
        <v>46184</v>
      </c>
      <c r="I1198" t="s">
        <v>217</v>
      </c>
    </row>
    <row r="1199" spans="1:9">
      <c r="A1199">
        <v>51198</v>
      </c>
      <c r="B1199">
        <v>3100</v>
      </c>
      <c r="C1199">
        <v>2013</v>
      </c>
      <c r="D1199" s="7">
        <v>46180</v>
      </c>
      <c r="E1199" t="s">
        <v>204</v>
      </c>
      <c r="F1199" t="s">
        <v>202</v>
      </c>
      <c r="G1199">
        <v>15</v>
      </c>
      <c r="H1199" s="7">
        <v>46183</v>
      </c>
      <c r="I1199" t="s">
        <v>211</v>
      </c>
    </row>
    <row r="1200" spans="1:9">
      <c r="A1200">
        <v>51199</v>
      </c>
      <c r="B1200">
        <v>3100</v>
      </c>
      <c r="C1200">
        <v>2013</v>
      </c>
      <c r="D1200" s="7">
        <v>46211</v>
      </c>
      <c r="E1200" t="s">
        <v>204</v>
      </c>
      <c r="F1200" t="s">
        <v>205</v>
      </c>
      <c r="H1200" s="7"/>
      <c r="I1200" t="s">
        <v>211</v>
      </c>
    </row>
    <row r="1201" spans="1:9">
      <c r="A1201">
        <v>51200</v>
      </c>
      <c r="B1201">
        <v>3101</v>
      </c>
      <c r="C1201">
        <v>2012</v>
      </c>
      <c r="D1201" s="7">
        <v>45628</v>
      </c>
      <c r="E1201" t="s">
        <v>210</v>
      </c>
      <c r="F1201" t="s">
        <v>214</v>
      </c>
      <c r="H1201" s="7">
        <v>45631</v>
      </c>
      <c r="I1201" t="s">
        <v>203</v>
      </c>
    </row>
    <row r="1202" spans="1:9">
      <c r="A1202">
        <v>51201</v>
      </c>
      <c r="B1202">
        <v>3101</v>
      </c>
      <c r="C1202">
        <v>2012</v>
      </c>
      <c r="D1202" s="7">
        <v>45641</v>
      </c>
      <c r="E1202" t="s">
        <v>204</v>
      </c>
      <c r="F1202" t="s">
        <v>202</v>
      </c>
      <c r="G1202">
        <v>30</v>
      </c>
      <c r="H1202" s="7">
        <v>45644</v>
      </c>
      <c r="I1202" t="s">
        <v>209</v>
      </c>
    </row>
    <row r="1203" spans="1:9">
      <c r="A1203">
        <v>51202</v>
      </c>
      <c r="B1203">
        <v>3101</v>
      </c>
      <c r="C1203">
        <v>2012</v>
      </c>
      <c r="D1203" s="7">
        <v>45703</v>
      </c>
      <c r="E1203" t="s">
        <v>212</v>
      </c>
      <c r="F1203" t="s">
        <v>202</v>
      </c>
      <c r="G1203">
        <v>20</v>
      </c>
      <c r="H1203" s="7">
        <v>45706</v>
      </c>
      <c r="I1203" t="s">
        <v>207</v>
      </c>
    </row>
    <row r="1204" spans="1:9">
      <c r="A1204">
        <v>51203</v>
      </c>
      <c r="B1204">
        <v>3101</v>
      </c>
      <c r="C1204">
        <v>2012</v>
      </c>
      <c r="D1204" s="7">
        <v>45853</v>
      </c>
      <c r="E1204" t="s">
        <v>212</v>
      </c>
      <c r="F1204" t="s">
        <v>202</v>
      </c>
      <c r="G1204">
        <v>45</v>
      </c>
      <c r="H1204" s="7">
        <v>45874</v>
      </c>
      <c r="I1204" t="s">
        <v>216</v>
      </c>
    </row>
    <row r="1205" spans="1:9">
      <c r="A1205">
        <v>51204</v>
      </c>
      <c r="B1205">
        <v>3101</v>
      </c>
      <c r="C1205">
        <v>2012</v>
      </c>
      <c r="D1205" s="7">
        <v>45864</v>
      </c>
      <c r="E1205" t="s">
        <v>201</v>
      </c>
      <c r="F1205" t="s">
        <v>202</v>
      </c>
      <c r="G1205">
        <v>10</v>
      </c>
      <c r="H1205" s="7">
        <v>45867</v>
      </c>
      <c r="I1205" t="s">
        <v>209</v>
      </c>
    </row>
    <row r="1206" spans="1:9">
      <c r="A1206">
        <v>51205</v>
      </c>
      <c r="B1206">
        <v>3101</v>
      </c>
      <c r="C1206">
        <v>2012</v>
      </c>
      <c r="D1206" s="7">
        <v>45892</v>
      </c>
      <c r="E1206" t="s">
        <v>212</v>
      </c>
      <c r="F1206" t="s">
        <v>213</v>
      </c>
      <c r="H1206" s="7">
        <v>45906</v>
      </c>
      <c r="I1206" t="s">
        <v>203</v>
      </c>
    </row>
    <row r="1207" spans="1:9">
      <c r="A1207">
        <v>51206</v>
      </c>
      <c r="B1207">
        <v>3101</v>
      </c>
      <c r="C1207">
        <v>2012</v>
      </c>
      <c r="D1207" s="7">
        <v>45919</v>
      </c>
      <c r="E1207" t="s">
        <v>210</v>
      </c>
      <c r="F1207" t="s">
        <v>214</v>
      </c>
      <c r="H1207" s="7">
        <v>45926</v>
      </c>
      <c r="I1207" t="s">
        <v>209</v>
      </c>
    </row>
    <row r="1208" spans="1:9">
      <c r="A1208">
        <v>51207</v>
      </c>
      <c r="B1208">
        <v>3101</v>
      </c>
      <c r="C1208">
        <v>2012</v>
      </c>
      <c r="D1208" s="7">
        <v>45933</v>
      </c>
      <c r="E1208" t="s">
        <v>204</v>
      </c>
      <c r="F1208" t="s">
        <v>202</v>
      </c>
      <c r="G1208">
        <v>15</v>
      </c>
      <c r="H1208" s="7">
        <v>45947</v>
      </c>
      <c r="I1208" t="s">
        <v>207</v>
      </c>
    </row>
    <row r="1209" spans="1:9">
      <c r="A1209">
        <v>51208</v>
      </c>
      <c r="B1209">
        <v>3101</v>
      </c>
      <c r="C1209">
        <v>2012</v>
      </c>
      <c r="D1209" s="7">
        <v>45955</v>
      </c>
      <c r="E1209" t="s">
        <v>219</v>
      </c>
      <c r="F1209" t="s">
        <v>214</v>
      </c>
      <c r="H1209" s="7">
        <v>45969</v>
      </c>
      <c r="I1209" t="s">
        <v>207</v>
      </c>
    </row>
    <row r="1210" spans="1:9">
      <c r="A1210">
        <v>51209</v>
      </c>
      <c r="B1210">
        <v>3101</v>
      </c>
      <c r="C1210">
        <v>2012</v>
      </c>
      <c r="D1210" s="7">
        <v>45958</v>
      </c>
      <c r="E1210" t="s">
        <v>210</v>
      </c>
      <c r="F1210" t="s">
        <v>213</v>
      </c>
      <c r="H1210" s="7">
        <v>45972</v>
      </c>
      <c r="I1210" t="s">
        <v>206</v>
      </c>
    </row>
    <row r="1211" spans="1:9">
      <c r="A1211">
        <v>51210</v>
      </c>
      <c r="B1211">
        <v>3101</v>
      </c>
      <c r="C1211">
        <v>2012</v>
      </c>
      <c r="D1211" s="7">
        <v>46167</v>
      </c>
      <c r="E1211" t="s">
        <v>219</v>
      </c>
      <c r="F1211" t="s">
        <v>202</v>
      </c>
      <c r="G1211">
        <v>45</v>
      </c>
      <c r="H1211" s="7">
        <v>46181</v>
      </c>
      <c r="I1211" t="s">
        <v>211</v>
      </c>
    </row>
    <row r="1212" spans="1:9">
      <c r="A1212">
        <v>51211</v>
      </c>
      <c r="B1212">
        <v>3102</v>
      </c>
      <c r="C1212">
        <v>2009</v>
      </c>
      <c r="D1212" s="7">
        <v>45486</v>
      </c>
      <c r="E1212" t="s">
        <v>204</v>
      </c>
      <c r="F1212" t="s">
        <v>202</v>
      </c>
      <c r="G1212">
        <v>90</v>
      </c>
      <c r="H1212" s="7">
        <v>45500</v>
      </c>
      <c r="I1212" t="s">
        <v>216</v>
      </c>
    </row>
    <row r="1213" spans="1:9">
      <c r="A1213">
        <v>51212</v>
      </c>
      <c r="B1213">
        <v>3102</v>
      </c>
      <c r="C1213">
        <v>2009</v>
      </c>
      <c r="D1213" s="7">
        <v>45529</v>
      </c>
      <c r="E1213" t="s">
        <v>212</v>
      </c>
      <c r="F1213" t="s">
        <v>202</v>
      </c>
      <c r="G1213">
        <v>10</v>
      </c>
      <c r="H1213" s="7">
        <v>45559</v>
      </c>
      <c r="I1213" t="s">
        <v>209</v>
      </c>
    </row>
    <row r="1214" spans="1:9">
      <c r="A1214">
        <v>51213</v>
      </c>
      <c r="B1214">
        <v>3102</v>
      </c>
      <c r="C1214">
        <v>2009</v>
      </c>
      <c r="D1214" s="7">
        <v>45727</v>
      </c>
      <c r="E1214" t="s">
        <v>210</v>
      </c>
      <c r="F1214" t="s">
        <v>215</v>
      </c>
      <c r="G1214">
        <v>15</v>
      </c>
      <c r="H1214" s="7">
        <v>45741</v>
      </c>
      <c r="I1214" t="s">
        <v>203</v>
      </c>
    </row>
    <row r="1215" spans="1:9">
      <c r="A1215">
        <v>51214</v>
      </c>
      <c r="B1215">
        <v>3102</v>
      </c>
      <c r="C1215">
        <v>2009</v>
      </c>
      <c r="D1215" s="7">
        <v>45728</v>
      </c>
      <c r="E1215" t="s">
        <v>201</v>
      </c>
      <c r="F1215" t="s">
        <v>202</v>
      </c>
      <c r="G1215">
        <v>45</v>
      </c>
      <c r="H1215" s="7">
        <v>45735</v>
      </c>
      <c r="I1215" t="s">
        <v>216</v>
      </c>
    </row>
    <row r="1216" spans="1:9">
      <c r="A1216">
        <v>51215</v>
      </c>
      <c r="B1216">
        <v>3102</v>
      </c>
      <c r="C1216">
        <v>2009</v>
      </c>
      <c r="D1216" s="7">
        <v>45931</v>
      </c>
      <c r="E1216" t="s">
        <v>219</v>
      </c>
      <c r="F1216" t="s">
        <v>213</v>
      </c>
      <c r="H1216" s="7">
        <v>45952</v>
      </c>
      <c r="I1216" t="s">
        <v>211</v>
      </c>
    </row>
    <row r="1217" spans="1:9">
      <c r="A1217">
        <v>51216</v>
      </c>
      <c r="B1217">
        <v>3102</v>
      </c>
      <c r="C1217">
        <v>2009</v>
      </c>
      <c r="D1217" s="7">
        <v>45934</v>
      </c>
      <c r="E1217" t="s">
        <v>204</v>
      </c>
      <c r="F1217" t="s">
        <v>202</v>
      </c>
      <c r="G1217">
        <v>90</v>
      </c>
      <c r="H1217" s="7">
        <v>45955</v>
      </c>
      <c r="I1217" t="s">
        <v>207</v>
      </c>
    </row>
    <row r="1218" spans="1:9">
      <c r="A1218">
        <v>51217</v>
      </c>
      <c r="B1218">
        <v>3102</v>
      </c>
      <c r="C1218">
        <v>2009</v>
      </c>
      <c r="D1218" s="7">
        <v>46110</v>
      </c>
      <c r="E1218" t="s">
        <v>204</v>
      </c>
      <c r="F1218" t="s">
        <v>202</v>
      </c>
      <c r="G1218">
        <v>30</v>
      </c>
      <c r="H1218" s="7">
        <v>46140</v>
      </c>
      <c r="I1218" t="s">
        <v>217</v>
      </c>
    </row>
    <row r="1219" spans="1:9">
      <c r="A1219">
        <v>51218</v>
      </c>
      <c r="B1219">
        <v>3102</v>
      </c>
      <c r="C1219">
        <v>2009</v>
      </c>
      <c r="D1219" s="7">
        <v>46136</v>
      </c>
      <c r="E1219" t="s">
        <v>201</v>
      </c>
      <c r="F1219" t="s">
        <v>202</v>
      </c>
      <c r="G1219">
        <v>45</v>
      </c>
      <c r="H1219" s="7">
        <v>46139</v>
      </c>
      <c r="I1219" t="s">
        <v>203</v>
      </c>
    </row>
    <row r="1220" spans="1:9">
      <c r="A1220">
        <v>51219</v>
      </c>
      <c r="B1220">
        <v>3103</v>
      </c>
      <c r="C1220">
        <v>2012</v>
      </c>
      <c r="D1220" s="7">
        <v>45630</v>
      </c>
      <c r="E1220" t="s">
        <v>201</v>
      </c>
      <c r="F1220" t="s">
        <v>215</v>
      </c>
      <c r="G1220">
        <v>30</v>
      </c>
      <c r="H1220" s="7">
        <v>45637</v>
      </c>
      <c r="I1220" t="s">
        <v>203</v>
      </c>
    </row>
    <row r="1221" spans="1:9">
      <c r="A1221">
        <v>51220</v>
      </c>
      <c r="B1221">
        <v>3103</v>
      </c>
      <c r="C1221">
        <v>2012</v>
      </c>
      <c r="D1221" s="7">
        <v>45640</v>
      </c>
      <c r="E1221" t="s">
        <v>204</v>
      </c>
      <c r="F1221" t="s">
        <v>202</v>
      </c>
      <c r="G1221">
        <v>90</v>
      </c>
      <c r="H1221" s="7">
        <v>45643</v>
      </c>
      <c r="I1221" t="s">
        <v>206</v>
      </c>
    </row>
    <row r="1222" spans="1:9">
      <c r="A1222">
        <v>51221</v>
      </c>
      <c r="B1222">
        <v>3103</v>
      </c>
      <c r="C1222">
        <v>2012</v>
      </c>
      <c r="D1222" s="7">
        <v>45656</v>
      </c>
      <c r="E1222" t="s">
        <v>201</v>
      </c>
      <c r="F1222" t="s">
        <v>215</v>
      </c>
      <c r="G1222">
        <v>20</v>
      </c>
      <c r="H1222" s="7">
        <v>45677</v>
      </c>
      <c r="I1222" t="s">
        <v>211</v>
      </c>
    </row>
    <row r="1223" spans="1:9">
      <c r="A1223">
        <v>51222</v>
      </c>
      <c r="B1223">
        <v>3103</v>
      </c>
      <c r="C1223">
        <v>2012</v>
      </c>
      <c r="D1223" s="7">
        <v>45765</v>
      </c>
      <c r="E1223" t="s">
        <v>204</v>
      </c>
      <c r="F1223" t="s">
        <v>205</v>
      </c>
      <c r="H1223" s="7"/>
      <c r="I1223" t="s">
        <v>209</v>
      </c>
    </row>
    <row r="1224" spans="1:9">
      <c r="A1224">
        <v>51223</v>
      </c>
      <c r="B1224">
        <v>3103</v>
      </c>
      <c r="C1224">
        <v>2012</v>
      </c>
      <c r="D1224" s="7">
        <v>45801</v>
      </c>
      <c r="E1224" t="s">
        <v>212</v>
      </c>
      <c r="F1224" t="s">
        <v>202</v>
      </c>
      <c r="G1224">
        <v>10</v>
      </c>
      <c r="H1224" s="7">
        <v>45822</v>
      </c>
      <c r="I1224" t="s">
        <v>217</v>
      </c>
    </row>
    <row r="1225" spans="1:9">
      <c r="A1225">
        <v>51224</v>
      </c>
      <c r="B1225">
        <v>3103</v>
      </c>
      <c r="C1225">
        <v>2012</v>
      </c>
      <c r="D1225" s="7">
        <v>45849</v>
      </c>
      <c r="E1225" t="s">
        <v>212</v>
      </c>
      <c r="F1225" t="s">
        <v>202</v>
      </c>
      <c r="G1225">
        <v>15</v>
      </c>
      <c r="H1225" s="7">
        <v>45863</v>
      </c>
      <c r="I1225" t="s">
        <v>206</v>
      </c>
    </row>
    <row r="1226" spans="1:9">
      <c r="A1226">
        <v>51225</v>
      </c>
      <c r="B1226">
        <v>3103</v>
      </c>
      <c r="C1226">
        <v>2012</v>
      </c>
      <c r="D1226" s="7">
        <v>45862</v>
      </c>
      <c r="E1226" t="s">
        <v>212</v>
      </c>
      <c r="F1226" t="s">
        <v>202</v>
      </c>
      <c r="G1226">
        <v>15</v>
      </c>
      <c r="H1226" s="7">
        <v>45892</v>
      </c>
      <c r="I1226" t="s">
        <v>206</v>
      </c>
    </row>
    <row r="1227" spans="1:9">
      <c r="A1227">
        <v>51226</v>
      </c>
      <c r="B1227">
        <v>3103</v>
      </c>
      <c r="C1227">
        <v>2012</v>
      </c>
      <c r="D1227" s="7">
        <v>46006</v>
      </c>
      <c r="E1227" t="s">
        <v>219</v>
      </c>
      <c r="F1227" t="s">
        <v>202</v>
      </c>
      <c r="G1227">
        <v>10</v>
      </c>
      <c r="H1227" s="7">
        <v>46027</v>
      </c>
      <c r="I1227" t="s">
        <v>206</v>
      </c>
    </row>
    <row r="1228" spans="1:9">
      <c r="A1228">
        <v>51227</v>
      </c>
      <c r="B1228">
        <v>3103</v>
      </c>
      <c r="C1228">
        <v>2012</v>
      </c>
      <c r="D1228" s="7">
        <v>46066</v>
      </c>
      <c r="E1228" t="s">
        <v>201</v>
      </c>
      <c r="F1228" t="s">
        <v>202</v>
      </c>
      <c r="G1228">
        <v>90</v>
      </c>
      <c r="H1228" s="7">
        <v>46080</v>
      </c>
      <c r="I1228" t="s">
        <v>206</v>
      </c>
    </row>
    <row r="1229" spans="1:9">
      <c r="A1229">
        <v>51228</v>
      </c>
      <c r="B1229">
        <v>3103</v>
      </c>
      <c r="C1229">
        <v>2012</v>
      </c>
      <c r="D1229" s="7">
        <v>46141</v>
      </c>
      <c r="E1229" t="s">
        <v>210</v>
      </c>
      <c r="F1229" t="s">
        <v>214</v>
      </c>
      <c r="H1229" s="7">
        <v>46162</v>
      </c>
      <c r="I1229" t="s">
        <v>217</v>
      </c>
    </row>
    <row r="1230" spans="1:9">
      <c r="A1230">
        <v>51229</v>
      </c>
      <c r="B1230">
        <v>3103</v>
      </c>
      <c r="C1230">
        <v>2012</v>
      </c>
      <c r="D1230" s="7">
        <v>46144</v>
      </c>
      <c r="E1230" t="s">
        <v>208</v>
      </c>
      <c r="F1230" t="s">
        <v>213</v>
      </c>
      <c r="H1230" s="7">
        <v>46151</v>
      </c>
      <c r="I1230" t="s">
        <v>211</v>
      </c>
    </row>
    <row r="1231" spans="1:9">
      <c r="A1231">
        <v>51230</v>
      </c>
      <c r="B1231">
        <v>3103</v>
      </c>
      <c r="C1231">
        <v>2012</v>
      </c>
      <c r="D1231" s="7">
        <v>46152</v>
      </c>
      <c r="E1231" t="s">
        <v>212</v>
      </c>
      <c r="F1231" t="s">
        <v>202</v>
      </c>
      <c r="G1231">
        <v>45</v>
      </c>
      <c r="H1231" s="7">
        <v>46159</v>
      </c>
      <c r="I1231" t="s">
        <v>209</v>
      </c>
    </row>
    <row r="1232" spans="1:9">
      <c r="A1232">
        <v>51231</v>
      </c>
      <c r="B1232">
        <v>3103</v>
      </c>
      <c r="C1232">
        <v>2012</v>
      </c>
      <c r="D1232" s="7">
        <v>46201</v>
      </c>
      <c r="E1232" t="s">
        <v>201</v>
      </c>
      <c r="F1232" t="s">
        <v>202</v>
      </c>
      <c r="G1232">
        <v>30</v>
      </c>
      <c r="H1232" s="7"/>
      <c r="I1232" t="s">
        <v>203</v>
      </c>
    </row>
    <row r="1233" spans="1:9">
      <c r="A1233">
        <v>51232</v>
      </c>
      <c r="B1233">
        <v>3103</v>
      </c>
      <c r="C1233">
        <v>2012</v>
      </c>
      <c r="D1233" s="7">
        <v>46214</v>
      </c>
      <c r="E1233" t="s">
        <v>204</v>
      </c>
      <c r="F1233" t="s">
        <v>214</v>
      </c>
      <c r="H1233" s="7"/>
      <c r="I1233" t="s">
        <v>207</v>
      </c>
    </row>
    <row r="1234" spans="1:9">
      <c r="A1234">
        <v>51233</v>
      </c>
      <c r="B1234">
        <v>3104</v>
      </c>
      <c r="C1234">
        <v>2009</v>
      </c>
      <c r="D1234" s="7">
        <v>45689</v>
      </c>
      <c r="E1234" t="s">
        <v>201</v>
      </c>
      <c r="F1234" t="s">
        <v>215</v>
      </c>
      <c r="G1234">
        <v>30</v>
      </c>
      <c r="H1234" s="7">
        <v>45696</v>
      </c>
      <c r="I1234" t="s">
        <v>211</v>
      </c>
    </row>
    <row r="1235" spans="1:9">
      <c r="A1235">
        <v>51234</v>
      </c>
      <c r="B1235">
        <v>3104</v>
      </c>
      <c r="C1235">
        <v>2009</v>
      </c>
      <c r="D1235" s="7">
        <v>45694</v>
      </c>
      <c r="E1235" t="s">
        <v>204</v>
      </c>
      <c r="F1235" t="s">
        <v>213</v>
      </c>
      <c r="H1235" s="7">
        <v>45697</v>
      </c>
      <c r="I1235" t="s">
        <v>216</v>
      </c>
    </row>
    <row r="1236" spans="1:9">
      <c r="A1236">
        <v>51235</v>
      </c>
      <c r="B1236">
        <v>3104</v>
      </c>
      <c r="C1236">
        <v>2009</v>
      </c>
      <c r="D1236" s="7">
        <v>45695</v>
      </c>
      <c r="E1236" t="s">
        <v>212</v>
      </c>
      <c r="F1236" t="s">
        <v>202</v>
      </c>
      <c r="G1236">
        <v>20</v>
      </c>
      <c r="H1236" s="7">
        <v>45709</v>
      </c>
      <c r="I1236" t="s">
        <v>209</v>
      </c>
    </row>
    <row r="1237" spans="1:9">
      <c r="A1237">
        <v>51236</v>
      </c>
      <c r="B1237">
        <v>3104</v>
      </c>
      <c r="C1237">
        <v>2009</v>
      </c>
      <c r="D1237" s="7">
        <v>45710</v>
      </c>
      <c r="E1237" t="s">
        <v>212</v>
      </c>
      <c r="F1237" t="s">
        <v>213</v>
      </c>
      <c r="H1237" s="7">
        <v>45717</v>
      </c>
      <c r="I1237" t="s">
        <v>207</v>
      </c>
    </row>
    <row r="1238" spans="1:9">
      <c r="A1238">
        <v>51237</v>
      </c>
      <c r="B1238">
        <v>3104</v>
      </c>
      <c r="C1238">
        <v>2009</v>
      </c>
      <c r="D1238" s="7">
        <v>45718</v>
      </c>
      <c r="E1238" t="s">
        <v>212</v>
      </c>
      <c r="F1238" t="s">
        <v>215</v>
      </c>
      <c r="G1238">
        <v>30</v>
      </c>
      <c r="H1238" s="7">
        <v>45725</v>
      </c>
      <c r="I1238" t="s">
        <v>217</v>
      </c>
    </row>
    <row r="1239" spans="1:9">
      <c r="A1239">
        <v>51238</v>
      </c>
      <c r="B1239">
        <v>3104</v>
      </c>
      <c r="C1239">
        <v>2009</v>
      </c>
      <c r="D1239" s="7">
        <v>45741</v>
      </c>
      <c r="E1239" t="s">
        <v>204</v>
      </c>
      <c r="F1239" t="s">
        <v>215</v>
      </c>
      <c r="G1239">
        <v>15</v>
      </c>
      <c r="H1239" s="7">
        <v>45762</v>
      </c>
      <c r="I1239" t="s">
        <v>216</v>
      </c>
    </row>
    <row r="1240" spans="1:9">
      <c r="A1240">
        <v>51239</v>
      </c>
      <c r="B1240">
        <v>3104</v>
      </c>
      <c r="C1240">
        <v>2009</v>
      </c>
      <c r="D1240" s="7">
        <v>45750</v>
      </c>
      <c r="E1240" t="s">
        <v>212</v>
      </c>
      <c r="F1240" t="s">
        <v>202</v>
      </c>
      <c r="G1240">
        <v>60</v>
      </c>
      <c r="H1240" s="7">
        <v>45780</v>
      </c>
      <c r="I1240" t="s">
        <v>209</v>
      </c>
    </row>
    <row r="1241" spans="1:9">
      <c r="A1241">
        <v>51240</v>
      </c>
      <c r="B1241">
        <v>3104</v>
      </c>
      <c r="C1241">
        <v>2009</v>
      </c>
      <c r="D1241" s="7">
        <v>45752</v>
      </c>
      <c r="E1241" t="s">
        <v>212</v>
      </c>
      <c r="F1241" t="s">
        <v>205</v>
      </c>
      <c r="H1241" s="7"/>
      <c r="I1241" t="s">
        <v>203</v>
      </c>
    </row>
    <row r="1242" spans="1:9">
      <c r="A1242">
        <v>51241</v>
      </c>
      <c r="B1242">
        <v>3104</v>
      </c>
      <c r="C1242">
        <v>2009</v>
      </c>
      <c r="D1242" s="7">
        <v>45765</v>
      </c>
      <c r="E1242" t="s">
        <v>219</v>
      </c>
      <c r="F1242" t="s">
        <v>214</v>
      </c>
      <c r="H1242" s="7">
        <v>45772</v>
      </c>
      <c r="I1242" t="s">
        <v>203</v>
      </c>
    </row>
    <row r="1243" spans="1:9">
      <c r="A1243">
        <v>51242</v>
      </c>
      <c r="B1243">
        <v>3104</v>
      </c>
      <c r="C1243">
        <v>2009</v>
      </c>
      <c r="D1243" s="7">
        <v>45781</v>
      </c>
      <c r="E1243" t="s">
        <v>219</v>
      </c>
      <c r="F1243" t="s">
        <v>202</v>
      </c>
      <c r="G1243">
        <v>45</v>
      </c>
      <c r="H1243" s="7">
        <v>45795</v>
      </c>
      <c r="I1243" t="s">
        <v>209</v>
      </c>
    </row>
    <row r="1244" spans="1:9">
      <c r="A1244">
        <v>51243</v>
      </c>
      <c r="B1244">
        <v>3104</v>
      </c>
      <c r="C1244">
        <v>2009</v>
      </c>
      <c r="D1244" s="7">
        <v>45812</v>
      </c>
      <c r="E1244" t="s">
        <v>212</v>
      </c>
      <c r="F1244" t="s">
        <v>218</v>
      </c>
      <c r="H1244" s="7"/>
      <c r="I1244" t="s">
        <v>203</v>
      </c>
    </row>
    <row r="1245" spans="1:9">
      <c r="A1245">
        <v>51244</v>
      </c>
      <c r="B1245">
        <v>3104</v>
      </c>
      <c r="C1245">
        <v>2009</v>
      </c>
      <c r="D1245" s="7">
        <v>45841</v>
      </c>
      <c r="E1245" t="s">
        <v>219</v>
      </c>
      <c r="F1245" t="s">
        <v>202</v>
      </c>
      <c r="G1245">
        <v>60</v>
      </c>
      <c r="H1245" s="7">
        <v>45862</v>
      </c>
      <c r="I1245" t="s">
        <v>207</v>
      </c>
    </row>
    <row r="1246" spans="1:9">
      <c r="A1246">
        <v>51245</v>
      </c>
      <c r="B1246">
        <v>3105</v>
      </c>
      <c r="C1246">
        <v>2005</v>
      </c>
      <c r="D1246" s="7">
        <v>45267</v>
      </c>
      <c r="E1246" t="s">
        <v>210</v>
      </c>
      <c r="F1246" t="s">
        <v>213</v>
      </c>
      <c r="H1246" s="7">
        <v>45274</v>
      </c>
      <c r="I1246" t="s">
        <v>211</v>
      </c>
    </row>
    <row r="1247" spans="1:9">
      <c r="A1247">
        <v>51246</v>
      </c>
      <c r="B1247">
        <v>3105</v>
      </c>
      <c r="C1247">
        <v>2005</v>
      </c>
      <c r="D1247" s="7">
        <v>45271</v>
      </c>
      <c r="E1247" t="s">
        <v>212</v>
      </c>
      <c r="F1247" t="s">
        <v>202</v>
      </c>
      <c r="G1247">
        <v>45</v>
      </c>
      <c r="H1247" s="7">
        <v>45278</v>
      </c>
      <c r="I1247" t="s">
        <v>209</v>
      </c>
    </row>
    <row r="1248" spans="1:9">
      <c r="A1248">
        <v>51247</v>
      </c>
      <c r="B1248">
        <v>3105</v>
      </c>
      <c r="C1248">
        <v>2005</v>
      </c>
      <c r="D1248" s="7">
        <v>45278</v>
      </c>
      <c r="E1248" t="s">
        <v>212</v>
      </c>
      <c r="F1248" t="s">
        <v>214</v>
      </c>
      <c r="H1248" s="7">
        <v>45308</v>
      </c>
      <c r="I1248" t="s">
        <v>216</v>
      </c>
    </row>
    <row r="1249" spans="1:9">
      <c r="A1249">
        <v>51248</v>
      </c>
      <c r="B1249">
        <v>3105</v>
      </c>
      <c r="C1249">
        <v>2005</v>
      </c>
      <c r="D1249" s="7">
        <v>45284</v>
      </c>
      <c r="E1249" t="s">
        <v>210</v>
      </c>
      <c r="F1249" t="s">
        <v>218</v>
      </c>
      <c r="H1249" s="7"/>
      <c r="I1249" t="s">
        <v>211</v>
      </c>
    </row>
    <row r="1250" spans="1:9">
      <c r="A1250">
        <v>51249</v>
      </c>
      <c r="B1250">
        <v>3105</v>
      </c>
      <c r="C1250">
        <v>2005</v>
      </c>
      <c r="D1250" s="7">
        <v>45317</v>
      </c>
      <c r="E1250" t="s">
        <v>219</v>
      </c>
      <c r="F1250" t="s">
        <v>213</v>
      </c>
      <c r="H1250" s="7">
        <v>45347</v>
      </c>
      <c r="I1250" t="s">
        <v>207</v>
      </c>
    </row>
    <row r="1251" spans="1:9">
      <c r="A1251">
        <v>51250</v>
      </c>
      <c r="B1251">
        <v>3105</v>
      </c>
      <c r="C1251">
        <v>2005</v>
      </c>
      <c r="D1251" s="7">
        <v>45326</v>
      </c>
      <c r="E1251" t="s">
        <v>212</v>
      </c>
      <c r="F1251" t="s">
        <v>202</v>
      </c>
      <c r="G1251">
        <v>10</v>
      </c>
      <c r="H1251" s="7">
        <v>45333</v>
      </c>
      <c r="I1251" t="s">
        <v>207</v>
      </c>
    </row>
    <row r="1252" spans="1:9">
      <c r="A1252">
        <v>51251</v>
      </c>
      <c r="B1252">
        <v>3105</v>
      </c>
      <c r="C1252">
        <v>2005</v>
      </c>
      <c r="D1252" s="7">
        <v>45335</v>
      </c>
      <c r="E1252" t="s">
        <v>212</v>
      </c>
      <c r="F1252" t="s">
        <v>202</v>
      </c>
      <c r="G1252">
        <v>60</v>
      </c>
      <c r="H1252" s="7">
        <v>45338</v>
      </c>
      <c r="I1252" t="s">
        <v>209</v>
      </c>
    </row>
    <row r="1253" spans="1:9">
      <c r="A1253">
        <v>51252</v>
      </c>
      <c r="B1253">
        <v>3105</v>
      </c>
      <c r="C1253">
        <v>2005</v>
      </c>
      <c r="D1253" s="7">
        <v>45376</v>
      </c>
      <c r="E1253" t="s">
        <v>212</v>
      </c>
      <c r="F1253" t="s">
        <v>202</v>
      </c>
      <c r="G1253">
        <v>30</v>
      </c>
      <c r="H1253" s="7">
        <v>45406</v>
      </c>
      <c r="I1253" t="s">
        <v>207</v>
      </c>
    </row>
    <row r="1254" spans="1:9">
      <c r="A1254">
        <v>51253</v>
      </c>
      <c r="B1254">
        <v>3105</v>
      </c>
      <c r="C1254">
        <v>2005</v>
      </c>
      <c r="D1254" s="7">
        <v>45392</v>
      </c>
      <c r="E1254" t="s">
        <v>219</v>
      </c>
      <c r="F1254" t="s">
        <v>202</v>
      </c>
      <c r="G1254">
        <v>60</v>
      </c>
      <c r="H1254" s="7">
        <v>45406</v>
      </c>
      <c r="I1254" t="s">
        <v>211</v>
      </c>
    </row>
    <row r="1255" spans="1:9">
      <c r="A1255">
        <v>51254</v>
      </c>
      <c r="B1255">
        <v>3105</v>
      </c>
      <c r="C1255">
        <v>2005</v>
      </c>
      <c r="D1255" s="7">
        <v>45395</v>
      </c>
      <c r="E1255" t="s">
        <v>204</v>
      </c>
      <c r="F1255" t="s">
        <v>205</v>
      </c>
      <c r="H1255" s="7"/>
      <c r="I1255" t="s">
        <v>207</v>
      </c>
    </row>
    <row r="1256" spans="1:9">
      <c r="A1256">
        <v>51255</v>
      </c>
      <c r="B1256">
        <v>3105</v>
      </c>
      <c r="C1256">
        <v>2005</v>
      </c>
      <c r="D1256" s="7">
        <v>45401</v>
      </c>
      <c r="E1256" t="s">
        <v>201</v>
      </c>
      <c r="F1256" t="s">
        <v>214</v>
      </c>
      <c r="H1256" s="7">
        <v>45431</v>
      </c>
      <c r="I1256" t="s">
        <v>217</v>
      </c>
    </row>
    <row r="1257" spans="1:9">
      <c r="A1257">
        <v>51256</v>
      </c>
      <c r="B1257">
        <v>3105</v>
      </c>
      <c r="C1257">
        <v>2005</v>
      </c>
      <c r="D1257" s="7">
        <v>45404</v>
      </c>
      <c r="E1257" t="s">
        <v>201</v>
      </c>
      <c r="F1257" t="s">
        <v>202</v>
      </c>
      <c r="G1257">
        <v>15</v>
      </c>
      <c r="H1257" s="7">
        <v>45407</v>
      </c>
      <c r="I1257" t="s">
        <v>217</v>
      </c>
    </row>
    <row r="1258" spans="1:9">
      <c r="A1258">
        <v>51257</v>
      </c>
      <c r="B1258">
        <v>3105</v>
      </c>
      <c r="C1258">
        <v>2005</v>
      </c>
      <c r="D1258" s="7">
        <v>45406</v>
      </c>
      <c r="E1258" t="s">
        <v>219</v>
      </c>
      <c r="F1258" t="s">
        <v>214</v>
      </c>
      <c r="H1258" s="7">
        <v>45420</v>
      </c>
      <c r="I1258" t="s">
        <v>211</v>
      </c>
    </row>
    <row r="1259" spans="1:9">
      <c r="A1259">
        <v>51258</v>
      </c>
      <c r="B1259">
        <v>3105</v>
      </c>
      <c r="C1259">
        <v>2005</v>
      </c>
      <c r="D1259" s="7">
        <v>45408</v>
      </c>
      <c r="E1259" t="s">
        <v>201</v>
      </c>
      <c r="F1259" t="s">
        <v>213</v>
      </c>
      <c r="H1259" s="7">
        <v>45415</v>
      </c>
      <c r="I1259" t="s">
        <v>206</v>
      </c>
    </row>
    <row r="1260" spans="1:9">
      <c r="A1260">
        <v>51259</v>
      </c>
      <c r="B1260">
        <v>3106</v>
      </c>
      <c r="C1260">
        <v>2014</v>
      </c>
      <c r="D1260" s="7">
        <v>45967</v>
      </c>
      <c r="E1260" t="s">
        <v>212</v>
      </c>
      <c r="F1260" t="s">
        <v>215</v>
      </c>
      <c r="G1260">
        <v>15</v>
      </c>
      <c r="H1260" s="7">
        <v>45997</v>
      </c>
      <c r="I1260" t="s">
        <v>216</v>
      </c>
    </row>
    <row r="1261" spans="1:9">
      <c r="A1261">
        <v>51260</v>
      </c>
      <c r="B1261">
        <v>3106</v>
      </c>
      <c r="C1261">
        <v>2014</v>
      </c>
      <c r="D1261" s="7">
        <v>45970</v>
      </c>
      <c r="E1261" t="s">
        <v>219</v>
      </c>
      <c r="F1261" t="s">
        <v>218</v>
      </c>
      <c r="H1261" s="7"/>
      <c r="I1261" t="s">
        <v>207</v>
      </c>
    </row>
    <row r="1262" spans="1:9">
      <c r="A1262">
        <v>51261</v>
      </c>
      <c r="B1262">
        <v>3106</v>
      </c>
      <c r="C1262">
        <v>2014</v>
      </c>
      <c r="D1262" s="7">
        <v>45973</v>
      </c>
      <c r="E1262" t="s">
        <v>201</v>
      </c>
      <c r="F1262" t="s">
        <v>213</v>
      </c>
      <c r="H1262" s="7">
        <v>46003</v>
      </c>
      <c r="I1262" t="s">
        <v>216</v>
      </c>
    </row>
    <row r="1263" spans="1:9">
      <c r="A1263">
        <v>51262</v>
      </c>
      <c r="B1263">
        <v>3106</v>
      </c>
      <c r="C1263">
        <v>2014</v>
      </c>
      <c r="D1263" s="7">
        <v>45984</v>
      </c>
      <c r="E1263" t="s">
        <v>212</v>
      </c>
      <c r="F1263" t="s">
        <v>213</v>
      </c>
      <c r="H1263" s="7">
        <v>45987</v>
      </c>
      <c r="I1263" t="s">
        <v>203</v>
      </c>
    </row>
    <row r="1264" spans="1:9">
      <c r="A1264">
        <v>51263</v>
      </c>
      <c r="B1264">
        <v>3106</v>
      </c>
      <c r="C1264">
        <v>2014</v>
      </c>
      <c r="D1264" s="7">
        <v>45985</v>
      </c>
      <c r="E1264" t="s">
        <v>201</v>
      </c>
      <c r="F1264" t="s">
        <v>202</v>
      </c>
      <c r="G1264">
        <v>60</v>
      </c>
      <c r="H1264" s="7">
        <v>45992</v>
      </c>
      <c r="I1264" t="s">
        <v>207</v>
      </c>
    </row>
    <row r="1265" spans="1:9">
      <c r="A1265">
        <v>51264</v>
      </c>
      <c r="B1265">
        <v>3106</v>
      </c>
      <c r="C1265">
        <v>2014</v>
      </c>
      <c r="D1265" s="7">
        <v>45985</v>
      </c>
      <c r="E1265" t="s">
        <v>212</v>
      </c>
      <c r="F1265" t="s">
        <v>213</v>
      </c>
      <c r="H1265" s="7">
        <v>45999</v>
      </c>
      <c r="I1265" t="s">
        <v>216</v>
      </c>
    </row>
    <row r="1266" spans="1:9">
      <c r="A1266">
        <v>51265</v>
      </c>
      <c r="B1266">
        <v>3106</v>
      </c>
      <c r="C1266">
        <v>2014</v>
      </c>
      <c r="D1266" s="7">
        <v>46012</v>
      </c>
      <c r="E1266" t="s">
        <v>204</v>
      </c>
      <c r="F1266" t="s">
        <v>202</v>
      </c>
      <c r="G1266">
        <v>10</v>
      </c>
      <c r="H1266" s="7">
        <v>46042</v>
      </c>
      <c r="I1266" t="s">
        <v>206</v>
      </c>
    </row>
    <row r="1267" spans="1:9">
      <c r="A1267">
        <v>51266</v>
      </c>
      <c r="B1267">
        <v>3106</v>
      </c>
      <c r="C1267">
        <v>2014</v>
      </c>
      <c r="D1267" s="7">
        <v>46015</v>
      </c>
      <c r="E1267" t="s">
        <v>210</v>
      </c>
      <c r="F1267" t="s">
        <v>218</v>
      </c>
      <c r="H1267" s="7"/>
      <c r="I1267" t="s">
        <v>216</v>
      </c>
    </row>
    <row r="1268" spans="1:9">
      <c r="A1268">
        <v>51267</v>
      </c>
      <c r="B1268">
        <v>3106</v>
      </c>
      <c r="C1268">
        <v>2014</v>
      </c>
      <c r="D1268" s="7">
        <v>46019</v>
      </c>
      <c r="E1268" t="s">
        <v>210</v>
      </c>
      <c r="F1268" t="s">
        <v>202</v>
      </c>
      <c r="G1268">
        <v>10</v>
      </c>
      <c r="H1268" s="7">
        <v>46033</v>
      </c>
      <c r="I1268" t="s">
        <v>207</v>
      </c>
    </row>
    <row r="1269" spans="1:9">
      <c r="A1269">
        <v>51268</v>
      </c>
      <c r="B1269">
        <v>3106</v>
      </c>
      <c r="C1269">
        <v>2014</v>
      </c>
      <c r="D1269" s="7">
        <v>46046</v>
      </c>
      <c r="E1269" t="s">
        <v>210</v>
      </c>
      <c r="F1269" t="s">
        <v>205</v>
      </c>
      <c r="H1269" s="7"/>
      <c r="I1269" t="s">
        <v>207</v>
      </c>
    </row>
    <row r="1270" spans="1:9">
      <c r="A1270">
        <v>51269</v>
      </c>
      <c r="B1270">
        <v>3106</v>
      </c>
      <c r="C1270">
        <v>2014</v>
      </c>
      <c r="D1270" s="7">
        <v>46061</v>
      </c>
      <c r="E1270" t="s">
        <v>201</v>
      </c>
      <c r="F1270" t="s">
        <v>214</v>
      </c>
      <c r="H1270" s="7">
        <v>46075</v>
      </c>
      <c r="I1270" t="s">
        <v>211</v>
      </c>
    </row>
    <row r="1271" spans="1:9">
      <c r="A1271">
        <v>51270</v>
      </c>
      <c r="B1271">
        <v>3106</v>
      </c>
      <c r="C1271">
        <v>2014</v>
      </c>
      <c r="D1271" s="7">
        <v>46086</v>
      </c>
      <c r="E1271" t="s">
        <v>204</v>
      </c>
      <c r="F1271" t="s">
        <v>202</v>
      </c>
      <c r="G1271">
        <v>45</v>
      </c>
      <c r="H1271" s="7">
        <v>46100</v>
      </c>
      <c r="I1271" t="s">
        <v>217</v>
      </c>
    </row>
    <row r="1272" spans="1:9">
      <c r="A1272">
        <v>51271</v>
      </c>
      <c r="B1272">
        <v>3106</v>
      </c>
      <c r="C1272">
        <v>2014</v>
      </c>
      <c r="D1272" s="7">
        <v>46163</v>
      </c>
      <c r="E1272" t="s">
        <v>204</v>
      </c>
      <c r="F1272" t="s">
        <v>202</v>
      </c>
      <c r="G1272">
        <v>10</v>
      </c>
      <c r="H1272" s="7">
        <v>46166</v>
      </c>
      <c r="I1272" t="s">
        <v>211</v>
      </c>
    </row>
    <row r="1273" spans="1:9">
      <c r="A1273">
        <v>51272</v>
      </c>
      <c r="B1273">
        <v>3106</v>
      </c>
      <c r="C1273">
        <v>2014</v>
      </c>
      <c r="D1273" s="7">
        <v>46169</v>
      </c>
      <c r="E1273" t="s">
        <v>212</v>
      </c>
      <c r="F1273" t="s">
        <v>202</v>
      </c>
      <c r="G1273">
        <v>10</v>
      </c>
      <c r="H1273" s="7">
        <v>46199</v>
      </c>
      <c r="I1273" t="s">
        <v>211</v>
      </c>
    </row>
    <row r="1274" spans="1:9">
      <c r="A1274">
        <v>51273</v>
      </c>
      <c r="B1274">
        <v>3106</v>
      </c>
      <c r="C1274">
        <v>2014</v>
      </c>
      <c r="D1274" s="7">
        <v>46177</v>
      </c>
      <c r="E1274" t="s">
        <v>212</v>
      </c>
      <c r="F1274" t="s">
        <v>213</v>
      </c>
      <c r="H1274" s="7">
        <v>46184</v>
      </c>
      <c r="I1274" t="s">
        <v>206</v>
      </c>
    </row>
    <row r="1275" spans="1:9">
      <c r="A1275">
        <v>51274</v>
      </c>
      <c r="B1275">
        <v>3106</v>
      </c>
      <c r="C1275">
        <v>2014</v>
      </c>
      <c r="D1275" s="7">
        <v>46178</v>
      </c>
      <c r="E1275" t="s">
        <v>212</v>
      </c>
      <c r="F1275" t="s">
        <v>202</v>
      </c>
      <c r="G1275">
        <v>10</v>
      </c>
      <c r="H1275" s="7">
        <v>46181</v>
      </c>
      <c r="I1275" t="s">
        <v>209</v>
      </c>
    </row>
    <row r="1276" spans="1:9">
      <c r="A1276">
        <v>51275</v>
      </c>
      <c r="B1276">
        <v>3106</v>
      </c>
      <c r="C1276">
        <v>2014</v>
      </c>
      <c r="D1276" s="7">
        <v>46185</v>
      </c>
      <c r="E1276" t="s">
        <v>204</v>
      </c>
      <c r="F1276" t="s">
        <v>202</v>
      </c>
      <c r="G1276">
        <v>10</v>
      </c>
      <c r="H1276" s="7">
        <v>46188</v>
      </c>
      <c r="I1276" t="s">
        <v>209</v>
      </c>
    </row>
    <row r="1277" spans="1:9">
      <c r="A1277">
        <v>51276</v>
      </c>
      <c r="B1277">
        <v>3107</v>
      </c>
      <c r="C1277">
        <v>2014</v>
      </c>
      <c r="D1277" s="7">
        <v>45797</v>
      </c>
      <c r="E1277" t="s">
        <v>208</v>
      </c>
      <c r="F1277" t="s">
        <v>202</v>
      </c>
      <c r="G1277">
        <v>15</v>
      </c>
      <c r="H1277" s="7">
        <v>45818</v>
      </c>
      <c r="I1277" t="s">
        <v>217</v>
      </c>
    </row>
    <row r="1278" spans="1:9">
      <c r="A1278">
        <v>51277</v>
      </c>
      <c r="B1278">
        <v>3107</v>
      </c>
      <c r="C1278">
        <v>2014</v>
      </c>
      <c r="D1278" s="7">
        <v>45873</v>
      </c>
      <c r="E1278" t="s">
        <v>204</v>
      </c>
      <c r="F1278" t="s">
        <v>202</v>
      </c>
      <c r="G1278">
        <v>20</v>
      </c>
      <c r="H1278" s="7">
        <v>45903</v>
      </c>
      <c r="I1278" t="s">
        <v>203</v>
      </c>
    </row>
    <row r="1279" spans="1:9">
      <c r="A1279">
        <v>51278</v>
      </c>
      <c r="B1279">
        <v>3107</v>
      </c>
      <c r="C1279">
        <v>2014</v>
      </c>
      <c r="D1279" s="7">
        <v>45967</v>
      </c>
      <c r="E1279" t="s">
        <v>219</v>
      </c>
      <c r="F1279" t="s">
        <v>202</v>
      </c>
      <c r="G1279">
        <v>45</v>
      </c>
      <c r="H1279" s="7">
        <v>45974</v>
      </c>
      <c r="I1279" t="s">
        <v>216</v>
      </c>
    </row>
    <row r="1280" spans="1:9">
      <c r="A1280">
        <v>51279</v>
      </c>
      <c r="B1280">
        <v>3107</v>
      </c>
      <c r="C1280">
        <v>2014</v>
      </c>
      <c r="D1280" s="7">
        <v>45972</v>
      </c>
      <c r="E1280" t="s">
        <v>212</v>
      </c>
      <c r="F1280" t="s">
        <v>202</v>
      </c>
      <c r="G1280">
        <v>30</v>
      </c>
      <c r="H1280" s="7">
        <v>46002</v>
      </c>
      <c r="I1280" t="s">
        <v>207</v>
      </c>
    </row>
    <row r="1281" spans="1:9">
      <c r="A1281">
        <v>51280</v>
      </c>
      <c r="B1281">
        <v>3107</v>
      </c>
      <c r="C1281">
        <v>2014</v>
      </c>
      <c r="D1281" s="7">
        <v>45983</v>
      </c>
      <c r="E1281" t="s">
        <v>219</v>
      </c>
      <c r="F1281" t="s">
        <v>214</v>
      </c>
      <c r="H1281" s="7">
        <v>45986</v>
      </c>
      <c r="I1281" t="s">
        <v>217</v>
      </c>
    </row>
    <row r="1282" spans="1:9">
      <c r="A1282">
        <v>51281</v>
      </c>
      <c r="B1282">
        <v>3107</v>
      </c>
      <c r="C1282">
        <v>2014</v>
      </c>
      <c r="D1282" s="7">
        <v>45999</v>
      </c>
      <c r="E1282" t="s">
        <v>212</v>
      </c>
      <c r="F1282" t="s">
        <v>218</v>
      </c>
      <c r="H1282" s="7"/>
      <c r="I1282" t="s">
        <v>211</v>
      </c>
    </row>
    <row r="1283" spans="1:9">
      <c r="A1283">
        <v>51282</v>
      </c>
      <c r="B1283">
        <v>3107</v>
      </c>
      <c r="C1283">
        <v>2014</v>
      </c>
      <c r="D1283" s="7">
        <v>46008</v>
      </c>
      <c r="E1283" t="s">
        <v>208</v>
      </c>
      <c r="F1283" t="s">
        <v>202</v>
      </c>
      <c r="G1283">
        <v>90</v>
      </c>
      <c r="H1283" s="7">
        <v>46011</v>
      </c>
      <c r="I1283" t="s">
        <v>207</v>
      </c>
    </row>
    <row r="1284" spans="1:9">
      <c r="A1284">
        <v>51283</v>
      </c>
      <c r="B1284">
        <v>3107</v>
      </c>
      <c r="C1284">
        <v>2014</v>
      </c>
      <c r="D1284" s="7">
        <v>46084</v>
      </c>
      <c r="E1284" t="s">
        <v>212</v>
      </c>
      <c r="F1284" t="s">
        <v>218</v>
      </c>
      <c r="H1284" s="7"/>
      <c r="I1284" t="s">
        <v>209</v>
      </c>
    </row>
    <row r="1285" spans="1:9">
      <c r="A1285">
        <v>51284</v>
      </c>
      <c r="B1285">
        <v>3107</v>
      </c>
      <c r="C1285">
        <v>2014</v>
      </c>
      <c r="D1285" s="7">
        <v>46134</v>
      </c>
      <c r="E1285" t="s">
        <v>201</v>
      </c>
      <c r="F1285" t="s">
        <v>214</v>
      </c>
      <c r="H1285" s="7">
        <v>46155</v>
      </c>
      <c r="I1285" t="s">
        <v>209</v>
      </c>
    </row>
    <row r="1286" spans="1:9">
      <c r="A1286">
        <v>51285</v>
      </c>
      <c r="B1286">
        <v>3107</v>
      </c>
      <c r="C1286">
        <v>2014</v>
      </c>
      <c r="D1286" s="7">
        <v>46200</v>
      </c>
      <c r="E1286" t="s">
        <v>212</v>
      </c>
      <c r="F1286" t="s">
        <v>202</v>
      </c>
      <c r="G1286">
        <v>30</v>
      </c>
      <c r="H1286" s="7">
        <v>46214</v>
      </c>
      <c r="I1286" t="s">
        <v>206</v>
      </c>
    </row>
    <row r="1287" spans="1:9">
      <c r="A1287">
        <v>51286</v>
      </c>
      <c r="B1287">
        <v>3108</v>
      </c>
      <c r="C1287">
        <v>2002</v>
      </c>
      <c r="D1287" s="7">
        <v>45194</v>
      </c>
      <c r="E1287" t="s">
        <v>212</v>
      </c>
      <c r="F1287" t="s">
        <v>205</v>
      </c>
      <c r="H1287" s="7"/>
      <c r="I1287" t="s">
        <v>203</v>
      </c>
    </row>
    <row r="1288" spans="1:9">
      <c r="A1288">
        <v>51287</v>
      </c>
      <c r="B1288">
        <v>3108</v>
      </c>
      <c r="C1288">
        <v>2002</v>
      </c>
      <c r="D1288" s="7">
        <v>45221</v>
      </c>
      <c r="E1288" t="s">
        <v>212</v>
      </c>
      <c r="F1288" t="s">
        <v>205</v>
      </c>
      <c r="H1288" s="7"/>
      <c r="I1288" t="s">
        <v>203</v>
      </c>
    </row>
    <row r="1289" spans="1:9">
      <c r="A1289">
        <v>51288</v>
      </c>
      <c r="B1289">
        <v>3108</v>
      </c>
      <c r="C1289">
        <v>2002</v>
      </c>
      <c r="D1289" s="7">
        <v>45227</v>
      </c>
      <c r="E1289" t="s">
        <v>219</v>
      </c>
      <c r="F1289" t="s">
        <v>214</v>
      </c>
      <c r="H1289" s="7">
        <v>45234</v>
      </c>
      <c r="I1289" t="s">
        <v>209</v>
      </c>
    </row>
    <row r="1290" spans="1:9">
      <c r="A1290">
        <v>51289</v>
      </c>
      <c r="B1290">
        <v>3108</v>
      </c>
      <c r="C1290">
        <v>2002</v>
      </c>
      <c r="D1290" s="7">
        <v>45328</v>
      </c>
      <c r="E1290" t="s">
        <v>219</v>
      </c>
      <c r="F1290" t="s">
        <v>218</v>
      </c>
      <c r="H1290" s="7"/>
      <c r="I1290" t="s">
        <v>216</v>
      </c>
    </row>
    <row r="1291" spans="1:9">
      <c r="A1291">
        <v>51290</v>
      </c>
      <c r="B1291">
        <v>3108</v>
      </c>
      <c r="C1291">
        <v>2002</v>
      </c>
      <c r="D1291" s="7">
        <v>45384</v>
      </c>
      <c r="E1291" t="s">
        <v>210</v>
      </c>
      <c r="F1291" t="s">
        <v>202</v>
      </c>
      <c r="G1291">
        <v>15</v>
      </c>
      <c r="H1291" s="7">
        <v>45391</v>
      </c>
      <c r="I1291" t="s">
        <v>207</v>
      </c>
    </row>
    <row r="1292" spans="1:9">
      <c r="A1292">
        <v>51291</v>
      </c>
      <c r="B1292">
        <v>3108</v>
      </c>
      <c r="C1292">
        <v>2002</v>
      </c>
      <c r="D1292" s="7">
        <v>45476</v>
      </c>
      <c r="E1292" t="s">
        <v>204</v>
      </c>
      <c r="F1292" t="s">
        <v>215</v>
      </c>
      <c r="G1292">
        <v>90</v>
      </c>
      <c r="H1292" s="7">
        <v>45490</v>
      </c>
      <c r="I1292" t="s">
        <v>207</v>
      </c>
    </row>
    <row r="1293" spans="1:9">
      <c r="A1293">
        <v>51292</v>
      </c>
      <c r="B1293">
        <v>3108</v>
      </c>
      <c r="C1293">
        <v>2002</v>
      </c>
      <c r="D1293" s="7">
        <v>45529</v>
      </c>
      <c r="E1293" t="s">
        <v>204</v>
      </c>
      <c r="F1293" t="s">
        <v>214</v>
      </c>
      <c r="H1293" s="7">
        <v>45550</v>
      </c>
      <c r="I1293" t="s">
        <v>217</v>
      </c>
    </row>
    <row r="1294" spans="1:9">
      <c r="A1294">
        <v>51293</v>
      </c>
      <c r="B1294">
        <v>3108</v>
      </c>
      <c r="C1294">
        <v>2002</v>
      </c>
      <c r="D1294" s="7">
        <v>45606</v>
      </c>
      <c r="E1294" t="s">
        <v>219</v>
      </c>
      <c r="F1294" t="s">
        <v>213</v>
      </c>
      <c r="H1294" s="7">
        <v>45613</v>
      </c>
      <c r="I1294" t="s">
        <v>217</v>
      </c>
    </row>
    <row r="1295" spans="1:9">
      <c r="A1295">
        <v>51294</v>
      </c>
      <c r="B1295">
        <v>3108</v>
      </c>
      <c r="C1295">
        <v>2002</v>
      </c>
      <c r="D1295" s="7">
        <v>45615</v>
      </c>
      <c r="E1295" t="s">
        <v>201</v>
      </c>
      <c r="F1295" t="s">
        <v>213</v>
      </c>
      <c r="H1295" s="7">
        <v>45618</v>
      </c>
      <c r="I1295" t="s">
        <v>211</v>
      </c>
    </row>
    <row r="1296" spans="1:9">
      <c r="A1296">
        <v>51295</v>
      </c>
      <c r="B1296">
        <v>3108</v>
      </c>
      <c r="C1296">
        <v>2002</v>
      </c>
      <c r="D1296" s="7">
        <v>45656</v>
      </c>
      <c r="E1296" t="s">
        <v>210</v>
      </c>
      <c r="F1296" t="s">
        <v>214</v>
      </c>
      <c r="H1296" s="7">
        <v>45677</v>
      </c>
      <c r="I1296" t="s">
        <v>209</v>
      </c>
    </row>
    <row r="1297" spans="1:9">
      <c r="A1297">
        <v>51296</v>
      </c>
      <c r="B1297">
        <v>3108</v>
      </c>
      <c r="C1297">
        <v>2002</v>
      </c>
      <c r="D1297" s="7">
        <v>45798</v>
      </c>
      <c r="E1297" t="s">
        <v>212</v>
      </c>
      <c r="F1297" t="s">
        <v>213</v>
      </c>
      <c r="H1297" s="7">
        <v>45805</v>
      </c>
      <c r="I1297" t="s">
        <v>217</v>
      </c>
    </row>
    <row r="1298" spans="1:9">
      <c r="A1298">
        <v>51297</v>
      </c>
      <c r="B1298">
        <v>3108</v>
      </c>
      <c r="C1298">
        <v>2002</v>
      </c>
      <c r="D1298" s="7">
        <v>45898</v>
      </c>
      <c r="E1298" t="s">
        <v>201</v>
      </c>
      <c r="F1298" t="s">
        <v>202</v>
      </c>
      <c r="G1298">
        <v>45</v>
      </c>
      <c r="H1298" s="7">
        <v>45905</v>
      </c>
      <c r="I1298" t="s">
        <v>207</v>
      </c>
    </row>
    <row r="1299" spans="1:9">
      <c r="A1299">
        <v>51298</v>
      </c>
      <c r="B1299">
        <v>3108</v>
      </c>
      <c r="C1299">
        <v>2002</v>
      </c>
      <c r="D1299" s="7">
        <v>45991</v>
      </c>
      <c r="E1299" t="s">
        <v>208</v>
      </c>
      <c r="F1299" t="s">
        <v>202</v>
      </c>
      <c r="G1299">
        <v>30</v>
      </c>
      <c r="H1299" s="7">
        <v>45994</v>
      </c>
      <c r="I1299" t="s">
        <v>206</v>
      </c>
    </row>
    <row r="1300" spans="1:9">
      <c r="A1300">
        <v>51299</v>
      </c>
      <c r="B1300">
        <v>3108</v>
      </c>
      <c r="C1300">
        <v>2002</v>
      </c>
      <c r="D1300" s="7">
        <v>46107</v>
      </c>
      <c r="E1300" t="s">
        <v>219</v>
      </c>
      <c r="F1300" t="s">
        <v>214</v>
      </c>
      <c r="H1300" s="7">
        <v>46121</v>
      </c>
      <c r="I1300" t="s">
        <v>206</v>
      </c>
    </row>
    <row r="1301" spans="1:9">
      <c r="A1301">
        <v>51300</v>
      </c>
      <c r="B1301">
        <v>3108</v>
      </c>
      <c r="C1301">
        <v>2002</v>
      </c>
      <c r="D1301" s="7">
        <v>46113</v>
      </c>
      <c r="E1301" t="s">
        <v>208</v>
      </c>
      <c r="F1301" t="s">
        <v>202</v>
      </c>
      <c r="G1301">
        <v>45</v>
      </c>
      <c r="H1301" s="7">
        <v>46116</v>
      </c>
      <c r="I1301" t="s">
        <v>216</v>
      </c>
    </row>
    <row r="1302" spans="1:9">
      <c r="A1302">
        <v>51301</v>
      </c>
      <c r="B1302">
        <v>3109</v>
      </c>
      <c r="C1302">
        <v>2009</v>
      </c>
      <c r="D1302" s="7">
        <v>46183</v>
      </c>
      <c r="E1302" t="s">
        <v>212</v>
      </c>
      <c r="F1302" t="s">
        <v>213</v>
      </c>
      <c r="H1302" s="7">
        <v>46190</v>
      </c>
      <c r="I1302" t="s">
        <v>209</v>
      </c>
    </row>
    <row r="1303" spans="1:9">
      <c r="A1303">
        <v>51302</v>
      </c>
      <c r="B1303">
        <v>3109</v>
      </c>
      <c r="C1303">
        <v>2009</v>
      </c>
      <c r="D1303" s="7">
        <v>46187</v>
      </c>
      <c r="E1303" t="s">
        <v>219</v>
      </c>
      <c r="F1303" t="s">
        <v>202</v>
      </c>
      <c r="G1303">
        <v>45</v>
      </c>
      <c r="H1303" s="7">
        <v>46194</v>
      </c>
      <c r="I1303" t="s">
        <v>206</v>
      </c>
    </row>
    <row r="1304" spans="1:9">
      <c r="A1304">
        <v>51303</v>
      </c>
      <c r="B1304">
        <v>3109</v>
      </c>
      <c r="C1304">
        <v>2009</v>
      </c>
      <c r="D1304" s="7">
        <v>46197</v>
      </c>
      <c r="E1304" t="s">
        <v>212</v>
      </c>
      <c r="F1304" t="s">
        <v>214</v>
      </c>
      <c r="H1304" s="7">
        <v>46200</v>
      </c>
      <c r="I1304" t="s">
        <v>206</v>
      </c>
    </row>
    <row r="1305" spans="1:9">
      <c r="A1305">
        <v>51304</v>
      </c>
      <c r="B1305">
        <v>3109</v>
      </c>
      <c r="C1305">
        <v>2009</v>
      </c>
      <c r="D1305" s="7">
        <v>46197</v>
      </c>
      <c r="E1305" t="s">
        <v>212</v>
      </c>
      <c r="F1305" t="s">
        <v>214</v>
      </c>
      <c r="H1305" s="7">
        <v>46200</v>
      </c>
      <c r="I1305" t="s">
        <v>217</v>
      </c>
    </row>
    <row r="1306" spans="1:9">
      <c r="A1306">
        <v>51305</v>
      </c>
      <c r="B1306">
        <v>3109</v>
      </c>
      <c r="C1306">
        <v>2009</v>
      </c>
      <c r="D1306" s="7">
        <v>46200</v>
      </c>
      <c r="E1306" t="s">
        <v>204</v>
      </c>
      <c r="F1306" t="s">
        <v>202</v>
      </c>
      <c r="G1306">
        <v>30</v>
      </c>
      <c r="H1306" s="7"/>
      <c r="I1306" t="s">
        <v>216</v>
      </c>
    </row>
    <row r="1307" spans="1:9">
      <c r="A1307">
        <v>51306</v>
      </c>
      <c r="B1307">
        <v>3109</v>
      </c>
      <c r="C1307">
        <v>2009</v>
      </c>
      <c r="D1307" s="7">
        <v>46204</v>
      </c>
      <c r="E1307" t="s">
        <v>201</v>
      </c>
      <c r="F1307" t="s">
        <v>202</v>
      </c>
      <c r="G1307">
        <v>60</v>
      </c>
      <c r="H1307" s="7">
        <v>46207</v>
      </c>
      <c r="I1307" t="s">
        <v>209</v>
      </c>
    </row>
    <row r="1308" spans="1:9">
      <c r="A1308">
        <v>51307</v>
      </c>
      <c r="B1308">
        <v>3109</v>
      </c>
      <c r="C1308">
        <v>2009</v>
      </c>
      <c r="D1308" s="7">
        <v>46205</v>
      </c>
      <c r="E1308" t="s">
        <v>212</v>
      </c>
      <c r="F1308" t="s">
        <v>215</v>
      </c>
      <c r="G1308">
        <v>20</v>
      </c>
      <c r="H1308" s="7"/>
      <c r="I1308" t="s">
        <v>209</v>
      </c>
    </row>
    <row r="1309" spans="1:9">
      <c r="A1309">
        <v>51308</v>
      </c>
      <c r="B1309">
        <v>3109</v>
      </c>
      <c r="C1309">
        <v>2009</v>
      </c>
      <c r="D1309" s="7">
        <v>46208</v>
      </c>
      <c r="E1309" t="s">
        <v>219</v>
      </c>
      <c r="F1309" t="s">
        <v>205</v>
      </c>
      <c r="H1309" s="7"/>
      <c r="I1309" t="s">
        <v>216</v>
      </c>
    </row>
    <row r="1310" spans="1:9">
      <c r="A1310">
        <v>51309</v>
      </c>
      <c r="B1310">
        <v>3109</v>
      </c>
      <c r="C1310">
        <v>2009</v>
      </c>
      <c r="D1310" s="7">
        <v>46211</v>
      </c>
      <c r="E1310" t="s">
        <v>212</v>
      </c>
      <c r="F1310" t="s">
        <v>202</v>
      </c>
      <c r="G1310">
        <v>60</v>
      </c>
      <c r="H1310" s="7"/>
      <c r="I1310" t="s">
        <v>211</v>
      </c>
    </row>
    <row r="1311" spans="1:9">
      <c r="A1311">
        <v>51310</v>
      </c>
      <c r="B1311">
        <v>3109</v>
      </c>
      <c r="C1311">
        <v>2009</v>
      </c>
      <c r="D1311" s="7">
        <v>46212</v>
      </c>
      <c r="E1311" t="s">
        <v>204</v>
      </c>
      <c r="F1311" t="s">
        <v>202</v>
      </c>
      <c r="G1311">
        <v>20</v>
      </c>
      <c r="H1311" s="7"/>
      <c r="I1311" t="s">
        <v>211</v>
      </c>
    </row>
    <row r="1312" spans="1:9">
      <c r="A1312">
        <v>51311</v>
      </c>
      <c r="B1312">
        <v>3110</v>
      </c>
      <c r="C1312">
        <v>2007</v>
      </c>
      <c r="D1312" s="7">
        <v>45317</v>
      </c>
      <c r="E1312" t="s">
        <v>212</v>
      </c>
      <c r="F1312" t="s">
        <v>202</v>
      </c>
      <c r="G1312">
        <v>20</v>
      </c>
      <c r="H1312" s="7">
        <v>45324</v>
      </c>
      <c r="I1312" t="s">
        <v>207</v>
      </c>
    </row>
    <row r="1313" spans="1:9">
      <c r="A1313">
        <v>51312</v>
      </c>
      <c r="B1313">
        <v>3110</v>
      </c>
      <c r="C1313">
        <v>2007</v>
      </c>
      <c r="D1313" s="7">
        <v>45356</v>
      </c>
      <c r="E1313" t="s">
        <v>210</v>
      </c>
      <c r="F1313" t="s">
        <v>218</v>
      </c>
      <c r="H1313" s="7"/>
      <c r="I1313" t="s">
        <v>209</v>
      </c>
    </row>
    <row r="1314" spans="1:9">
      <c r="A1314">
        <v>51313</v>
      </c>
      <c r="B1314">
        <v>3110</v>
      </c>
      <c r="C1314">
        <v>2007</v>
      </c>
      <c r="D1314" s="7">
        <v>45417</v>
      </c>
      <c r="E1314" t="s">
        <v>212</v>
      </c>
      <c r="F1314" t="s">
        <v>213</v>
      </c>
      <c r="H1314" s="7">
        <v>45424</v>
      </c>
      <c r="I1314" t="s">
        <v>216</v>
      </c>
    </row>
    <row r="1315" spans="1:9">
      <c r="A1315">
        <v>51314</v>
      </c>
      <c r="B1315">
        <v>3110</v>
      </c>
      <c r="C1315">
        <v>2007</v>
      </c>
      <c r="D1315" s="7">
        <v>45435</v>
      </c>
      <c r="E1315" t="s">
        <v>212</v>
      </c>
      <c r="F1315" t="s">
        <v>202</v>
      </c>
      <c r="G1315">
        <v>30</v>
      </c>
      <c r="H1315" s="7">
        <v>45456</v>
      </c>
      <c r="I1315" t="s">
        <v>209</v>
      </c>
    </row>
    <row r="1316" spans="1:9">
      <c r="A1316">
        <v>51315</v>
      </c>
      <c r="B1316">
        <v>3110</v>
      </c>
      <c r="C1316">
        <v>2007</v>
      </c>
      <c r="D1316" s="7">
        <v>45447</v>
      </c>
      <c r="E1316" t="s">
        <v>212</v>
      </c>
      <c r="F1316" t="s">
        <v>213</v>
      </c>
      <c r="H1316" s="7">
        <v>45461</v>
      </c>
      <c r="I1316" t="s">
        <v>211</v>
      </c>
    </row>
    <row r="1317" spans="1:9">
      <c r="A1317">
        <v>51316</v>
      </c>
      <c r="B1317">
        <v>3110</v>
      </c>
      <c r="C1317">
        <v>2007</v>
      </c>
      <c r="D1317" s="7">
        <v>45460</v>
      </c>
      <c r="E1317" t="s">
        <v>212</v>
      </c>
      <c r="F1317" t="s">
        <v>202</v>
      </c>
      <c r="G1317">
        <v>90</v>
      </c>
      <c r="H1317" s="7">
        <v>45481</v>
      </c>
      <c r="I1317" t="s">
        <v>211</v>
      </c>
    </row>
    <row r="1318" spans="1:9">
      <c r="A1318">
        <v>51317</v>
      </c>
      <c r="B1318">
        <v>3110</v>
      </c>
      <c r="C1318">
        <v>2007</v>
      </c>
      <c r="D1318" s="7">
        <v>45480</v>
      </c>
      <c r="E1318" t="s">
        <v>204</v>
      </c>
      <c r="F1318" t="s">
        <v>202</v>
      </c>
      <c r="G1318">
        <v>20</v>
      </c>
      <c r="H1318" s="7">
        <v>45483</v>
      </c>
      <c r="I1318" t="s">
        <v>206</v>
      </c>
    </row>
    <row r="1319" spans="1:9">
      <c r="A1319">
        <v>51318</v>
      </c>
      <c r="B1319">
        <v>3110</v>
      </c>
      <c r="C1319">
        <v>2007</v>
      </c>
      <c r="D1319" s="7">
        <v>45490</v>
      </c>
      <c r="E1319" t="s">
        <v>201</v>
      </c>
      <c r="F1319" t="s">
        <v>202</v>
      </c>
      <c r="G1319">
        <v>15</v>
      </c>
      <c r="H1319" s="7">
        <v>45511</v>
      </c>
      <c r="I1319" t="s">
        <v>211</v>
      </c>
    </row>
    <row r="1320" spans="1:9">
      <c r="A1320">
        <v>51319</v>
      </c>
      <c r="B1320">
        <v>3110</v>
      </c>
      <c r="C1320">
        <v>2007</v>
      </c>
      <c r="D1320" s="7">
        <v>45591</v>
      </c>
      <c r="E1320" t="s">
        <v>210</v>
      </c>
      <c r="F1320" t="s">
        <v>214</v>
      </c>
      <c r="H1320" s="7">
        <v>45594</v>
      </c>
      <c r="I1320" t="s">
        <v>216</v>
      </c>
    </row>
    <row r="1321" spans="1:9">
      <c r="A1321">
        <v>51320</v>
      </c>
      <c r="B1321">
        <v>3110</v>
      </c>
      <c r="C1321">
        <v>2007</v>
      </c>
      <c r="D1321" s="7">
        <v>45677</v>
      </c>
      <c r="E1321" t="s">
        <v>210</v>
      </c>
      <c r="F1321" t="s">
        <v>218</v>
      </c>
      <c r="H1321" s="7"/>
      <c r="I1321" t="s">
        <v>209</v>
      </c>
    </row>
    <row r="1322" spans="1:9">
      <c r="A1322">
        <v>51321</v>
      </c>
      <c r="B1322">
        <v>3110</v>
      </c>
      <c r="C1322">
        <v>2007</v>
      </c>
      <c r="D1322" s="7">
        <v>45681</v>
      </c>
      <c r="E1322" t="s">
        <v>210</v>
      </c>
      <c r="F1322" t="s">
        <v>218</v>
      </c>
      <c r="H1322" s="7"/>
      <c r="I1322" t="s">
        <v>209</v>
      </c>
    </row>
    <row r="1323" spans="1:9">
      <c r="A1323">
        <v>51322</v>
      </c>
      <c r="B1323">
        <v>3110</v>
      </c>
      <c r="C1323">
        <v>2007</v>
      </c>
      <c r="D1323" s="7">
        <v>45716</v>
      </c>
      <c r="E1323" t="s">
        <v>212</v>
      </c>
      <c r="F1323" t="s">
        <v>205</v>
      </c>
      <c r="H1323" s="7"/>
      <c r="I1323" t="s">
        <v>211</v>
      </c>
    </row>
    <row r="1324" spans="1:9">
      <c r="A1324">
        <v>51323</v>
      </c>
      <c r="B1324">
        <v>3110</v>
      </c>
      <c r="C1324">
        <v>2007</v>
      </c>
      <c r="D1324" s="7">
        <v>45758</v>
      </c>
      <c r="E1324" t="s">
        <v>201</v>
      </c>
      <c r="F1324" t="s">
        <v>202</v>
      </c>
      <c r="G1324">
        <v>20</v>
      </c>
      <c r="H1324" s="7">
        <v>45772</v>
      </c>
      <c r="I1324" t="s">
        <v>207</v>
      </c>
    </row>
    <row r="1325" spans="1:9">
      <c r="A1325">
        <v>51324</v>
      </c>
      <c r="B1325">
        <v>3110</v>
      </c>
      <c r="C1325">
        <v>2007</v>
      </c>
      <c r="D1325" s="7">
        <v>45772</v>
      </c>
      <c r="E1325" t="s">
        <v>212</v>
      </c>
      <c r="F1325" t="s">
        <v>214</v>
      </c>
      <c r="H1325" s="7">
        <v>45779</v>
      </c>
      <c r="I1325" t="s">
        <v>209</v>
      </c>
    </row>
    <row r="1326" spans="1:9">
      <c r="A1326">
        <v>51325</v>
      </c>
      <c r="B1326">
        <v>3110</v>
      </c>
      <c r="C1326">
        <v>2007</v>
      </c>
      <c r="D1326" s="7">
        <v>45773</v>
      </c>
      <c r="E1326" t="s">
        <v>204</v>
      </c>
      <c r="F1326" t="s">
        <v>215</v>
      </c>
      <c r="G1326">
        <v>90</v>
      </c>
      <c r="H1326" s="7">
        <v>45794</v>
      </c>
      <c r="I1326" t="s">
        <v>216</v>
      </c>
    </row>
    <row r="1327" spans="1:9">
      <c r="A1327">
        <v>51326</v>
      </c>
      <c r="B1327">
        <v>3111</v>
      </c>
      <c r="C1327">
        <v>2009</v>
      </c>
      <c r="D1327" s="7">
        <v>46134</v>
      </c>
      <c r="E1327" t="s">
        <v>212</v>
      </c>
      <c r="F1327" t="s">
        <v>213</v>
      </c>
      <c r="H1327" s="7">
        <v>46137</v>
      </c>
      <c r="I1327" t="s">
        <v>207</v>
      </c>
    </row>
    <row r="1328" spans="1:9">
      <c r="A1328">
        <v>51327</v>
      </c>
      <c r="B1328">
        <v>3111</v>
      </c>
      <c r="C1328">
        <v>2009</v>
      </c>
      <c r="D1328" s="7">
        <v>46136</v>
      </c>
      <c r="E1328" t="s">
        <v>212</v>
      </c>
      <c r="F1328" t="s">
        <v>202</v>
      </c>
      <c r="G1328">
        <v>10</v>
      </c>
      <c r="H1328" s="7">
        <v>46157</v>
      </c>
      <c r="I1328" t="s">
        <v>216</v>
      </c>
    </row>
    <row r="1329" spans="1:9">
      <c r="A1329">
        <v>51328</v>
      </c>
      <c r="B1329">
        <v>3111</v>
      </c>
      <c r="C1329">
        <v>2009</v>
      </c>
      <c r="D1329" s="7">
        <v>46136</v>
      </c>
      <c r="E1329" t="s">
        <v>212</v>
      </c>
      <c r="F1329" t="s">
        <v>202</v>
      </c>
      <c r="G1329">
        <v>20</v>
      </c>
      <c r="H1329" s="7">
        <v>46166</v>
      </c>
      <c r="I1329" t="s">
        <v>211</v>
      </c>
    </row>
    <row r="1330" spans="1:9">
      <c r="A1330">
        <v>51329</v>
      </c>
      <c r="B1330">
        <v>3111</v>
      </c>
      <c r="C1330">
        <v>2009</v>
      </c>
      <c r="D1330" s="7">
        <v>46139</v>
      </c>
      <c r="E1330" t="s">
        <v>212</v>
      </c>
      <c r="F1330" t="s">
        <v>214</v>
      </c>
      <c r="H1330" s="7">
        <v>46142</v>
      </c>
      <c r="I1330" t="s">
        <v>203</v>
      </c>
    </row>
    <row r="1331" spans="1:9">
      <c r="A1331">
        <v>51330</v>
      </c>
      <c r="B1331">
        <v>3111</v>
      </c>
      <c r="C1331">
        <v>2009</v>
      </c>
      <c r="D1331" s="7">
        <v>46144</v>
      </c>
      <c r="E1331" t="s">
        <v>212</v>
      </c>
      <c r="F1331" t="s">
        <v>202</v>
      </c>
      <c r="G1331">
        <v>90</v>
      </c>
      <c r="H1331" s="7">
        <v>46158</v>
      </c>
      <c r="I1331" t="s">
        <v>207</v>
      </c>
    </row>
    <row r="1332" spans="1:9">
      <c r="A1332">
        <v>51331</v>
      </c>
      <c r="B1332">
        <v>3111</v>
      </c>
      <c r="C1332">
        <v>2009</v>
      </c>
      <c r="D1332" s="7">
        <v>46147</v>
      </c>
      <c r="E1332" t="s">
        <v>201</v>
      </c>
      <c r="F1332" t="s">
        <v>202</v>
      </c>
      <c r="G1332">
        <v>15</v>
      </c>
      <c r="H1332" s="7">
        <v>46177</v>
      </c>
      <c r="I1332" t="s">
        <v>203</v>
      </c>
    </row>
    <row r="1333" spans="1:9">
      <c r="A1333">
        <v>51332</v>
      </c>
      <c r="B1333">
        <v>3111</v>
      </c>
      <c r="C1333">
        <v>2009</v>
      </c>
      <c r="D1333" s="7">
        <v>46149</v>
      </c>
      <c r="E1333" t="s">
        <v>204</v>
      </c>
      <c r="F1333" t="s">
        <v>202</v>
      </c>
      <c r="G1333">
        <v>15</v>
      </c>
      <c r="H1333" s="7">
        <v>46156</v>
      </c>
      <c r="I1333" t="s">
        <v>216</v>
      </c>
    </row>
    <row r="1334" spans="1:9">
      <c r="A1334">
        <v>51333</v>
      </c>
      <c r="B1334">
        <v>3111</v>
      </c>
      <c r="C1334">
        <v>2009</v>
      </c>
      <c r="D1334" s="7">
        <v>46154</v>
      </c>
      <c r="E1334" t="s">
        <v>212</v>
      </c>
      <c r="F1334" t="s">
        <v>202</v>
      </c>
      <c r="G1334">
        <v>10</v>
      </c>
      <c r="H1334" s="7">
        <v>46168</v>
      </c>
      <c r="I1334" t="s">
        <v>206</v>
      </c>
    </row>
    <row r="1335" spans="1:9">
      <c r="A1335">
        <v>51334</v>
      </c>
      <c r="B1335">
        <v>3111</v>
      </c>
      <c r="C1335">
        <v>2009</v>
      </c>
      <c r="D1335" s="7">
        <v>46168</v>
      </c>
      <c r="E1335" t="s">
        <v>201</v>
      </c>
      <c r="F1335" t="s">
        <v>202</v>
      </c>
      <c r="G1335">
        <v>90</v>
      </c>
      <c r="H1335" s="7">
        <v>46171</v>
      </c>
      <c r="I1335" t="s">
        <v>206</v>
      </c>
    </row>
    <row r="1336" spans="1:9">
      <c r="A1336">
        <v>51335</v>
      </c>
      <c r="B1336">
        <v>3111</v>
      </c>
      <c r="C1336">
        <v>2009</v>
      </c>
      <c r="D1336" s="7">
        <v>46174</v>
      </c>
      <c r="E1336" t="s">
        <v>210</v>
      </c>
      <c r="F1336" t="s">
        <v>202</v>
      </c>
      <c r="G1336">
        <v>60</v>
      </c>
      <c r="H1336" s="7">
        <v>46188</v>
      </c>
      <c r="I1336" t="s">
        <v>216</v>
      </c>
    </row>
    <row r="1337" spans="1:9">
      <c r="A1337">
        <v>51336</v>
      </c>
      <c r="B1337">
        <v>3111</v>
      </c>
      <c r="C1337">
        <v>2009</v>
      </c>
      <c r="D1337" s="7">
        <v>46182</v>
      </c>
      <c r="E1337" t="s">
        <v>201</v>
      </c>
      <c r="F1337" t="s">
        <v>215</v>
      </c>
      <c r="G1337">
        <v>20</v>
      </c>
      <c r="H1337" s="7">
        <v>46203</v>
      </c>
      <c r="I1337" t="s">
        <v>206</v>
      </c>
    </row>
    <row r="1338" spans="1:9">
      <c r="A1338">
        <v>51337</v>
      </c>
      <c r="B1338">
        <v>3111</v>
      </c>
      <c r="C1338">
        <v>2009</v>
      </c>
      <c r="D1338" s="7">
        <v>46189</v>
      </c>
      <c r="E1338" t="s">
        <v>212</v>
      </c>
      <c r="F1338" t="s">
        <v>215</v>
      </c>
      <c r="G1338">
        <v>60</v>
      </c>
      <c r="H1338" s="7">
        <v>46210</v>
      </c>
      <c r="I1338" t="s">
        <v>209</v>
      </c>
    </row>
    <row r="1339" spans="1:9">
      <c r="A1339">
        <v>51338</v>
      </c>
      <c r="B1339">
        <v>3111</v>
      </c>
      <c r="C1339">
        <v>2009</v>
      </c>
      <c r="D1339" s="7">
        <v>46189</v>
      </c>
      <c r="E1339" t="s">
        <v>212</v>
      </c>
      <c r="F1339" t="s">
        <v>202</v>
      </c>
      <c r="G1339">
        <v>90</v>
      </c>
      <c r="H1339" s="7"/>
      <c r="I1339" t="s">
        <v>207</v>
      </c>
    </row>
    <row r="1340" spans="1:9">
      <c r="A1340">
        <v>51339</v>
      </c>
      <c r="B1340">
        <v>3111</v>
      </c>
      <c r="C1340">
        <v>2009</v>
      </c>
      <c r="D1340" s="7">
        <v>46200</v>
      </c>
      <c r="E1340" t="s">
        <v>212</v>
      </c>
      <c r="F1340" t="s">
        <v>202</v>
      </c>
      <c r="G1340">
        <v>45</v>
      </c>
      <c r="H1340" s="7"/>
      <c r="I1340" t="s">
        <v>203</v>
      </c>
    </row>
    <row r="1341" spans="1:9">
      <c r="A1341">
        <v>51340</v>
      </c>
      <c r="B1341">
        <v>3111</v>
      </c>
      <c r="C1341">
        <v>2009</v>
      </c>
      <c r="D1341" s="7">
        <v>46204</v>
      </c>
      <c r="E1341" t="s">
        <v>204</v>
      </c>
      <c r="F1341" t="s">
        <v>215</v>
      </c>
      <c r="G1341">
        <v>20</v>
      </c>
      <c r="H1341" s="7"/>
      <c r="I1341" t="s">
        <v>211</v>
      </c>
    </row>
    <row r="1342" spans="1:9">
      <c r="A1342">
        <v>51341</v>
      </c>
      <c r="B1342">
        <v>3111</v>
      </c>
      <c r="C1342">
        <v>2009</v>
      </c>
      <c r="D1342" s="7">
        <v>46214</v>
      </c>
      <c r="E1342" t="s">
        <v>212</v>
      </c>
      <c r="F1342" t="s">
        <v>202</v>
      </c>
      <c r="G1342">
        <v>10</v>
      </c>
      <c r="H1342" s="7"/>
      <c r="I1342" t="s">
        <v>206</v>
      </c>
    </row>
    <row r="1343" spans="1:9">
      <c r="A1343">
        <v>51342</v>
      </c>
      <c r="B1343">
        <v>3112</v>
      </c>
      <c r="C1343">
        <v>2011</v>
      </c>
      <c r="D1343" s="7">
        <v>45378</v>
      </c>
      <c r="E1343" t="s">
        <v>210</v>
      </c>
      <c r="F1343" t="s">
        <v>213</v>
      </c>
      <c r="H1343" s="7">
        <v>45399</v>
      </c>
      <c r="I1343" t="s">
        <v>217</v>
      </c>
    </row>
    <row r="1344" spans="1:9">
      <c r="A1344">
        <v>51343</v>
      </c>
      <c r="B1344">
        <v>3112</v>
      </c>
      <c r="C1344">
        <v>2011</v>
      </c>
      <c r="D1344" s="7">
        <v>45433</v>
      </c>
      <c r="E1344" t="s">
        <v>212</v>
      </c>
      <c r="F1344" t="s">
        <v>202</v>
      </c>
      <c r="G1344">
        <v>45</v>
      </c>
      <c r="H1344" s="7">
        <v>45440</v>
      </c>
      <c r="I1344" t="s">
        <v>206</v>
      </c>
    </row>
    <row r="1345" spans="1:9">
      <c r="A1345">
        <v>51344</v>
      </c>
      <c r="B1345">
        <v>3112</v>
      </c>
      <c r="C1345">
        <v>2011</v>
      </c>
      <c r="D1345" s="7">
        <v>45450</v>
      </c>
      <c r="E1345" t="s">
        <v>212</v>
      </c>
      <c r="F1345" t="s">
        <v>202</v>
      </c>
      <c r="G1345">
        <v>10</v>
      </c>
      <c r="H1345" s="7">
        <v>45457</v>
      </c>
      <c r="I1345" t="s">
        <v>207</v>
      </c>
    </row>
    <row r="1346" spans="1:9">
      <c r="A1346">
        <v>51345</v>
      </c>
      <c r="B1346">
        <v>3112</v>
      </c>
      <c r="C1346">
        <v>2011</v>
      </c>
      <c r="D1346" s="7">
        <v>45533</v>
      </c>
      <c r="E1346" t="s">
        <v>219</v>
      </c>
      <c r="F1346" t="s">
        <v>202</v>
      </c>
      <c r="G1346">
        <v>90</v>
      </c>
      <c r="H1346" s="7">
        <v>45536</v>
      </c>
      <c r="I1346" t="s">
        <v>217</v>
      </c>
    </row>
    <row r="1347" spans="1:9">
      <c r="A1347">
        <v>51346</v>
      </c>
      <c r="B1347">
        <v>3112</v>
      </c>
      <c r="C1347">
        <v>2011</v>
      </c>
      <c r="D1347" s="7">
        <v>45535</v>
      </c>
      <c r="E1347" t="s">
        <v>219</v>
      </c>
      <c r="F1347" t="s">
        <v>202</v>
      </c>
      <c r="G1347">
        <v>10</v>
      </c>
      <c r="H1347" s="7">
        <v>45538</v>
      </c>
      <c r="I1347" t="s">
        <v>203</v>
      </c>
    </row>
    <row r="1348" spans="1:9">
      <c r="A1348">
        <v>51347</v>
      </c>
      <c r="B1348">
        <v>3112</v>
      </c>
      <c r="C1348">
        <v>2011</v>
      </c>
      <c r="D1348" s="7">
        <v>45552</v>
      </c>
      <c r="E1348" t="s">
        <v>219</v>
      </c>
      <c r="F1348" t="s">
        <v>202</v>
      </c>
      <c r="G1348">
        <v>15</v>
      </c>
      <c r="H1348" s="7">
        <v>45566</v>
      </c>
      <c r="I1348" t="s">
        <v>211</v>
      </c>
    </row>
    <row r="1349" spans="1:9">
      <c r="A1349">
        <v>51348</v>
      </c>
      <c r="B1349">
        <v>3112</v>
      </c>
      <c r="C1349">
        <v>2011</v>
      </c>
      <c r="D1349" s="7">
        <v>45560</v>
      </c>
      <c r="E1349" t="s">
        <v>219</v>
      </c>
      <c r="F1349" t="s">
        <v>202</v>
      </c>
      <c r="G1349">
        <v>60</v>
      </c>
      <c r="H1349" s="7">
        <v>45567</v>
      </c>
      <c r="I1349" t="s">
        <v>217</v>
      </c>
    </row>
    <row r="1350" spans="1:9">
      <c r="A1350">
        <v>51349</v>
      </c>
      <c r="B1350">
        <v>3112</v>
      </c>
      <c r="C1350">
        <v>2011</v>
      </c>
      <c r="D1350" s="7">
        <v>45605</v>
      </c>
      <c r="E1350" t="s">
        <v>219</v>
      </c>
      <c r="F1350" t="s">
        <v>214</v>
      </c>
      <c r="H1350" s="7">
        <v>45626</v>
      </c>
      <c r="I1350" t="s">
        <v>207</v>
      </c>
    </row>
    <row r="1351" spans="1:9">
      <c r="A1351">
        <v>51350</v>
      </c>
      <c r="B1351">
        <v>3112</v>
      </c>
      <c r="C1351">
        <v>2011</v>
      </c>
      <c r="D1351" s="7">
        <v>45605</v>
      </c>
      <c r="E1351" t="s">
        <v>204</v>
      </c>
      <c r="F1351" t="s">
        <v>205</v>
      </c>
      <c r="H1351" s="7"/>
      <c r="I1351" t="s">
        <v>206</v>
      </c>
    </row>
    <row r="1352" spans="1:9">
      <c r="A1352">
        <v>51351</v>
      </c>
      <c r="B1352">
        <v>3112</v>
      </c>
      <c r="C1352">
        <v>2011</v>
      </c>
      <c r="D1352" s="7">
        <v>45629</v>
      </c>
      <c r="E1352" t="s">
        <v>210</v>
      </c>
      <c r="F1352" t="s">
        <v>215</v>
      </c>
      <c r="G1352">
        <v>45</v>
      </c>
      <c r="H1352" s="7">
        <v>45636</v>
      </c>
      <c r="I1352" t="s">
        <v>207</v>
      </c>
    </row>
    <row r="1353" spans="1:9">
      <c r="A1353">
        <v>51352</v>
      </c>
      <c r="B1353">
        <v>3112</v>
      </c>
      <c r="C1353">
        <v>2011</v>
      </c>
      <c r="D1353" s="7">
        <v>45697</v>
      </c>
      <c r="E1353" t="s">
        <v>210</v>
      </c>
      <c r="F1353" t="s">
        <v>213</v>
      </c>
      <c r="H1353" s="7">
        <v>45711</v>
      </c>
      <c r="I1353" t="s">
        <v>207</v>
      </c>
    </row>
    <row r="1354" spans="1:9">
      <c r="A1354">
        <v>51353</v>
      </c>
      <c r="B1354">
        <v>3112</v>
      </c>
      <c r="C1354">
        <v>2011</v>
      </c>
      <c r="D1354" s="7">
        <v>45875</v>
      </c>
      <c r="E1354" t="s">
        <v>212</v>
      </c>
      <c r="F1354" t="s">
        <v>202</v>
      </c>
      <c r="G1354">
        <v>60</v>
      </c>
      <c r="H1354" s="7">
        <v>45896</v>
      </c>
      <c r="I1354" t="s">
        <v>206</v>
      </c>
    </row>
    <row r="1355" spans="1:9">
      <c r="A1355">
        <v>51354</v>
      </c>
      <c r="B1355">
        <v>3112</v>
      </c>
      <c r="C1355">
        <v>2011</v>
      </c>
      <c r="D1355" s="7">
        <v>45946</v>
      </c>
      <c r="E1355" t="s">
        <v>212</v>
      </c>
      <c r="F1355" t="s">
        <v>214</v>
      </c>
      <c r="H1355" s="7">
        <v>45967</v>
      </c>
      <c r="I1355" t="s">
        <v>206</v>
      </c>
    </row>
    <row r="1356" spans="1:9">
      <c r="A1356">
        <v>51355</v>
      </c>
      <c r="B1356">
        <v>3112</v>
      </c>
      <c r="C1356">
        <v>2011</v>
      </c>
      <c r="D1356" s="7">
        <v>45991</v>
      </c>
      <c r="E1356" t="s">
        <v>219</v>
      </c>
      <c r="F1356" t="s">
        <v>202</v>
      </c>
      <c r="G1356">
        <v>90</v>
      </c>
      <c r="H1356" s="7">
        <v>46005</v>
      </c>
      <c r="I1356" t="s">
        <v>209</v>
      </c>
    </row>
    <row r="1357" spans="1:9">
      <c r="A1357">
        <v>51356</v>
      </c>
      <c r="B1357">
        <v>3112</v>
      </c>
      <c r="C1357">
        <v>2011</v>
      </c>
      <c r="D1357" s="7">
        <v>46018</v>
      </c>
      <c r="E1357" t="s">
        <v>212</v>
      </c>
      <c r="F1357" t="s">
        <v>202</v>
      </c>
      <c r="G1357">
        <v>90</v>
      </c>
      <c r="H1357" s="7">
        <v>46021</v>
      </c>
      <c r="I1357" t="s">
        <v>211</v>
      </c>
    </row>
    <row r="1358" spans="1:9">
      <c r="A1358">
        <v>51357</v>
      </c>
      <c r="B1358">
        <v>3112</v>
      </c>
      <c r="C1358">
        <v>2011</v>
      </c>
      <c r="D1358" s="7">
        <v>46078</v>
      </c>
      <c r="E1358" t="s">
        <v>212</v>
      </c>
      <c r="F1358" t="s">
        <v>202</v>
      </c>
      <c r="G1358">
        <v>10</v>
      </c>
      <c r="H1358" s="7">
        <v>46085</v>
      </c>
      <c r="I1358" t="s">
        <v>207</v>
      </c>
    </row>
    <row r="1359" spans="1:9">
      <c r="A1359">
        <v>51358</v>
      </c>
      <c r="B1359">
        <v>3112</v>
      </c>
      <c r="C1359">
        <v>2011</v>
      </c>
      <c r="D1359" s="7">
        <v>46122</v>
      </c>
      <c r="E1359" t="s">
        <v>201</v>
      </c>
      <c r="F1359" t="s">
        <v>213</v>
      </c>
      <c r="H1359" s="7">
        <v>46143</v>
      </c>
      <c r="I1359" t="s">
        <v>206</v>
      </c>
    </row>
    <row r="1360" spans="1:9">
      <c r="A1360">
        <v>51359</v>
      </c>
      <c r="B1360">
        <v>3112</v>
      </c>
      <c r="C1360">
        <v>2011</v>
      </c>
      <c r="D1360" s="7">
        <v>46151</v>
      </c>
      <c r="E1360" t="s">
        <v>212</v>
      </c>
      <c r="F1360" t="s">
        <v>214</v>
      </c>
      <c r="H1360" s="7">
        <v>46181</v>
      </c>
      <c r="I1360" t="s">
        <v>217</v>
      </c>
    </row>
    <row r="1361" spans="1:9">
      <c r="A1361">
        <v>51360</v>
      </c>
      <c r="B1361">
        <v>3112</v>
      </c>
      <c r="C1361">
        <v>2011</v>
      </c>
      <c r="D1361" s="7">
        <v>46174</v>
      </c>
      <c r="E1361" t="s">
        <v>204</v>
      </c>
      <c r="F1361" t="s">
        <v>202</v>
      </c>
      <c r="G1361">
        <v>30</v>
      </c>
      <c r="H1361" s="7">
        <v>46181</v>
      </c>
      <c r="I1361" t="s">
        <v>207</v>
      </c>
    </row>
    <row r="1362" spans="1:9">
      <c r="A1362">
        <v>51361</v>
      </c>
      <c r="B1362">
        <v>3112</v>
      </c>
      <c r="C1362">
        <v>2011</v>
      </c>
      <c r="D1362" s="7">
        <v>46185</v>
      </c>
      <c r="E1362" t="s">
        <v>210</v>
      </c>
      <c r="F1362" t="s">
        <v>214</v>
      </c>
      <c r="H1362" s="7">
        <v>46188</v>
      </c>
      <c r="I1362" t="s">
        <v>203</v>
      </c>
    </row>
    <row r="1363" spans="1:9">
      <c r="A1363">
        <v>51362</v>
      </c>
      <c r="B1363">
        <v>3113</v>
      </c>
      <c r="C1363">
        <v>2013</v>
      </c>
      <c r="D1363" s="7">
        <v>45280</v>
      </c>
      <c r="E1363" t="s">
        <v>208</v>
      </c>
      <c r="F1363" t="s">
        <v>202</v>
      </c>
      <c r="G1363">
        <v>60</v>
      </c>
      <c r="H1363" s="7">
        <v>45287</v>
      </c>
      <c r="I1363" t="s">
        <v>206</v>
      </c>
    </row>
    <row r="1364" spans="1:9">
      <c r="A1364">
        <v>51363</v>
      </c>
      <c r="B1364">
        <v>3113</v>
      </c>
      <c r="C1364">
        <v>2013</v>
      </c>
      <c r="D1364" s="7">
        <v>45306</v>
      </c>
      <c r="E1364" t="s">
        <v>208</v>
      </c>
      <c r="F1364" t="s">
        <v>202</v>
      </c>
      <c r="G1364">
        <v>45</v>
      </c>
      <c r="H1364" s="7">
        <v>45309</v>
      </c>
      <c r="I1364" t="s">
        <v>211</v>
      </c>
    </row>
    <row r="1365" spans="1:9">
      <c r="A1365">
        <v>51364</v>
      </c>
      <c r="B1365">
        <v>3113</v>
      </c>
      <c r="C1365">
        <v>2013</v>
      </c>
      <c r="D1365" s="7">
        <v>45346</v>
      </c>
      <c r="E1365" t="s">
        <v>219</v>
      </c>
      <c r="F1365" t="s">
        <v>202</v>
      </c>
      <c r="G1365">
        <v>45</v>
      </c>
      <c r="H1365" s="7">
        <v>45353</v>
      </c>
      <c r="I1365" t="s">
        <v>207</v>
      </c>
    </row>
    <row r="1366" spans="1:9">
      <c r="A1366">
        <v>51365</v>
      </c>
      <c r="B1366">
        <v>3113</v>
      </c>
      <c r="C1366">
        <v>2013</v>
      </c>
      <c r="D1366" s="7">
        <v>45501</v>
      </c>
      <c r="E1366" t="s">
        <v>212</v>
      </c>
      <c r="F1366" t="s">
        <v>202</v>
      </c>
      <c r="G1366">
        <v>30</v>
      </c>
      <c r="H1366" s="7">
        <v>45508</v>
      </c>
      <c r="I1366" t="s">
        <v>206</v>
      </c>
    </row>
    <row r="1367" spans="1:9">
      <c r="A1367">
        <v>51366</v>
      </c>
      <c r="B1367">
        <v>3113</v>
      </c>
      <c r="C1367">
        <v>2013</v>
      </c>
      <c r="D1367" s="7">
        <v>45595</v>
      </c>
      <c r="E1367" t="s">
        <v>210</v>
      </c>
      <c r="F1367" t="s">
        <v>214</v>
      </c>
      <c r="H1367" s="7">
        <v>45625</v>
      </c>
      <c r="I1367" t="s">
        <v>203</v>
      </c>
    </row>
    <row r="1368" spans="1:9">
      <c r="A1368">
        <v>51367</v>
      </c>
      <c r="B1368">
        <v>3113</v>
      </c>
      <c r="C1368">
        <v>2013</v>
      </c>
      <c r="D1368" s="7">
        <v>45596</v>
      </c>
      <c r="E1368" t="s">
        <v>204</v>
      </c>
      <c r="F1368" t="s">
        <v>202</v>
      </c>
      <c r="G1368">
        <v>90</v>
      </c>
      <c r="H1368" s="7">
        <v>45599</v>
      </c>
      <c r="I1368" t="s">
        <v>211</v>
      </c>
    </row>
    <row r="1369" spans="1:9">
      <c r="A1369">
        <v>51368</v>
      </c>
      <c r="B1369">
        <v>3113</v>
      </c>
      <c r="C1369">
        <v>2013</v>
      </c>
      <c r="D1369" s="7">
        <v>45612</v>
      </c>
      <c r="E1369" t="s">
        <v>210</v>
      </c>
      <c r="F1369" t="s">
        <v>218</v>
      </c>
      <c r="H1369" s="7"/>
      <c r="I1369" t="s">
        <v>206</v>
      </c>
    </row>
    <row r="1370" spans="1:9">
      <c r="A1370">
        <v>51369</v>
      </c>
      <c r="B1370">
        <v>3113</v>
      </c>
      <c r="C1370">
        <v>2013</v>
      </c>
      <c r="D1370" s="7">
        <v>45657</v>
      </c>
      <c r="E1370" t="s">
        <v>212</v>
      </c>
      <c r="F1370" t="s">
        <v>214</v>
      </c>
      <c r="H1370" s="7">
        <v>45664</v>
      </c>
      <c r="I1370" t="s">
        <v>209</v>
      </c>
    </row>
    <row r="1371" spans="1:9">
      <c r="A1371">
        <v>51370</v>
      </c>
      <c r="B1371">
        <v>3113</v>
      </c>
      <c r="C1371">
        <v>2013</v>
      </c>
      <c r="D1371" s="7">
        <v>45667</v>
      </c>
      <c r="E1371" t="s">
        <v>212</v>
      </c>
      <c r="F1371" t="s">
        <v>205</v>
      </c>
      <c r="H1371" s="7"/>
      <c r="I1371" t="s">
        <v>216</v>
      </c>
    </row>
    <row r="1372" spans="1:9">
      <c r="A1372">
        <v>51371</v>
      </c>
      <c r="B1372">
        <v>3113</v>
      </c>
      <c r="C1372">
        <v>2013</v>
      </c>
      <c r="D1372" s="7">
        <v>45715</v>
      </c>
      <c r="E1372" t="s">
        <v>219</v>
      </c>
      <c r="F1372" t="s">
        <v>202</v>
      </c>
      <c r="G1372">
        <v>90</v>
      </c>
      <c r="H1372" s="7">
        <v>45736</v>
      </c>
      <c r="I1372" t="s">
        <v>216</v>
      </c>
    </row>
    <row r="1373" spans="1:9">
      <c r="A1373">
        <v>51372</v>
      </c>
      <c r="B1373">
        <v>3113</v>
      </c>
      <c r="C1373">
        <v>2013</v>
      </c>
      <c r="D1373" s="7">
        <v>45795</v>
      </c>
      <c r="E1373" t="s">
        <v>210</v>
      </c>
      <c r="F1373" t="s">
        <v>213</v>
      </c>
      <c r="H1373" s="7">
        <v>45802</v>
      </c>
      <c r="I1373" t="s">
        <v>211</v>
      </c>
    </row>
    <row r="1374" spans="1:9">
      <c r="A1374">
        <v>51373</v>
      </c>
      <c r="B1374">
        <v>3113</v>
      </c>
      <c r="C1374">
        <v>2013</v>
      </c>
      <c r="D1374" s="7">
        <v>45800</v>
      </c>
      <c r="E1374" t="s">
        <v>219</v>
      </c>
      <c r="F1374" t="s">
        <v>213</v>
      </c>
      <c r="H1374" s="7">
        <v>45830</v>
      </c>
      <c r="I1374" t="s">
        <v>206</v>
      </c>
    </row>
    <row r="1375" spans="1:9">
      <c r="A1375">
        <v>51374</v>
      </c>
      <c r="B1375">
        <v>3113</v>
      </c>
      <c r="C1375">
        <v>2013</v>
      </c>
      <c r="D1375" s="7">
        <v>45812</v>
      </c>
      <c r="E1375" t="s">
        <v>219</v>
      </c>
      <c r="F1375" t="s">
        <v>218</v>
      </c>
      <c r="H1375" s="7"/>
      <c r="I1375" t="s">
        <v>216</v>
      </c>
    </row>
    <row r="1376" spans="1:9">
      <c r="A1376">
        <v>51375</v>
      </c>
      <c r="B1376">
        <v>3113</v>
      </c>
      <c r="C1376">
        <v>2013</v>
      </c>
      <c r="D1376" s="7">
        <v>45820</v>
      </c>
      <c r="E1376" t="s">
        <v>219</v>
      </c>
      <c r="F1376" t="s">
        <v>214</v>
      </c>
      <c r="H1376" s="7">
        <v>45850</v>
      </c>
      <c r="I1376" t="s">
        <v>216</v>
      </c>
    </row>
    <row r="1377" spans="1:9">
      <c r="A1377">
        <v>51376</v>
      </c>
      <c r="B1377">
        <v>3113</v>
      </c>
      <c r="C1377">
        <v>2013</v>
      </c>
      <c r="D1377" s="7">
        <v>45907</v>
      </c>
      <c r="E1377" t="s">
        <v>219</v>
      </c>
      <c r="F1377" t="s">
        <v>205</v>
      </c>
      <c r="H1377" s="7"/>
      <c r="I1377" t="s">
        <v>216</v>
      </c>
    </row>
    <row r="1378" spans="1:9">
      <c r="A1378">
        <v>51377</v>
      </c>
      <c r="B1378">
        <v>3113</v>
      </c>
      <c r="C1378">
        <v>2013</v>
      </c>
      <c r="D1378" s="7">
        <v>46027</v>
      </c>
      <c r="E1378" t="s">
        <v>212</v>
      </c>
      <c r="F1378" t="s">
        <v>202</v>
      </c>
      <c r="G1378">
        <v>15</v>
      </c>
      <c r="H1378" s="7">
        <v>46048</v>
      </c>
      <c r="I1378" t="s">
        <v>209</v>
      </c>
    </row>
    <row r="1379" spans="1:9">
      <c r="A1379">
        <v>51378</v>
      </c>
      <c r="B1379">
        <v>3113</v>
      </c>
      <c r="C1379">
        <v>2013</v>
      </c>
      <c r="D1379" s="7">
        <v>46044</v>
      </c>
      <c r="E1379" t="s">
        <v>204</v>
      </c>
      <c r="F1379" t="s">
        <v>214</v>
      </c>
      <c r="H1379" s="7">
        <v>46074</v>
      </c>
      <c r="I1379" t="s">
        <v>206</v>
      </c>
    </row>
    <row r="1380" spans="1:9">
      <c r="A1380">
        <v>51379</v>
      </c>
      <c r="B1380">
        <v>3113</v>
      </c>
      <c r="C1380">
        <v>2013</v>
      </c>
      <c r="D1380" s="7">
        <v>46118</v>
      </c>
      <c r="E1380" t="s">
        <v>210</v>
      </c>
      <c r="F1380" t="s">
        <v>218</v>
      </c>
      <c r="H1380" s="7"/>
      <c r="I1380" t="s">
        <v>211</v>
      </c>
    </row>
    <row r="1381" spans="1:9">
      <c r="A1381">
        <v>51380</v>
      </c>
      <c r="B1381">
        <v>3113</v>
      </c>
      <c r="C1381">
        <v>2013</v>
      </c>
      <c r="D1381" s="7">
        <v>46165</v>
      </c>
      <c r="E1381" t="s">
        <v>204</v>
      </c>
      <c r="F1381" t="s">
        <v>202</v>
      </c>
      <c r="G1381">
        <v>90</v>
      </c>
      <c r="H1381" s="7">
        <v>46186</v>
      </c>
      <c r="I1381" t="s">
        <v>207</v>
      </c>
    </row>
    <row r="1382" spans="1:9">
      <c r="A1382">
        <v>51381</v>
      </c>
      <c r="B1382">
        <v>3114</v>
      </c>
      <c r="C1382">
        <v>2009</v>
      </c>
      <c r="D1382" s="7">
        <v>45544</v>
      </c>
      <c r="E1382" t="s">
        <v>212</v>
      </c>
      <c r="F1382" t="s">
        <v>202</v>
      </c>
      <c r="G1382">
        <v>90</v>
      </c>
      <c r="H1382" s="7">
        <v>45565</v>
      </c>
      <c r="I1382" t="s">
        <v>207</v>
      </c>
    </row>
    <row r="1383" spans="1:9">
      <c r="A1383">
        <v>51382</v>
      </c>
      <c r="B1383">
        <v>3114</v>
      </c>
      <c r="C1383">
        <v>2009</v>
      </c>
      <c r="D1383" s="7">
        <v>45548</v>
      </c>
      <c r="E1383" t="s">
        <v>219</v>
      </c>
      <c r="F1383" t="s">
        <v>202</v>
      </c>
      <c r="G1383">
        <v>45</v>
      </c>
      <c r="H1383" s="7">
        <v>45569</v>
      </c>
      <c r="I1383" t="s">
        <v>207</v>
      </c>
    </row>
    <row r="1384" spans="1:9">
      <c r="A1384">
        <v>51383</v>
      </c>
      <c r="B1384">
        <v>3114</v>
      </c>
      <c r="C1384">
        <v>2009</v>
      </c>
      <c r="D1384" s="7">
        <v>45654</v>
      </c>
      <c r="E1384" t="s">
        <v>204</v>
      </c>
      <c r="F1384" t="s">
        <v>218</v>
      </c>
      <c r="H1384" s="7"/>
      <c r="I1384" t="s">
        <v>217</v>
      </c>
    </row>
    <row r="1385" spans="1:9">
      <c r="A1385">
        <v>51384</v>
      </c>
      <c r="B1385">
        <v>3114</v>
      </c>
      <c r="C1385">
        <v>2009</v>
      </c>
      <c r="D1385" s="7">
        <v>45703</v>
      </c>
      <c r="E1385" t="s">
        <v>204</v>
      </c>
      <c r="F1385" t="s">
        <v>202</v>
      </c>
      <c r="G1385">
        <v>20</v>
      </c>
      <c r="H1385" s="7">
        <v>45717</v>
      </c>
      <c r="I1385" t="s">
        <v>217</v>
      </c>
    </row>
    <row r="1386" spans="1:9">
      <c r="A1386">
        <v>51385</v>
      </c>
      <c r="B1386">
        <v>3114</v>
      </c>
      <c r="C1386">
        <v>2009</v>
      </c>
      <c r="D1386" s="7">
        <v>45743</v>
      </c>
      <c r="E1386" t="s">
        <v>201</v>
      </c>
      <c r="F1386" t="s">
        <v>215</v>
      </c>
      <c r="G1386">
        <v>60</v>
      </c>
      <c r="H1386" s="7">
        <v>45746</v>
      </c>
      <c r="I1386" t="s">
        <v>211</v>
      </c>
    </row>
    <row r="1387" spans="1:9">
      <c r="A1387">
        <v>51386</v>
      </c>
      <c r="B1387">
        <v>3114</v>
      </c>
      <c r="C1387">
        <v>2009</v>
      </c>
      <c r="D1387" s="7">
        <v>45763</v>
      </c>
      <c r="E1387" t="s">
        <v>212</v>
      </c>
      <c r="F1387" t="s">
        <v>202</v>
      </c>
      <c r="G1387">
        <v>15</v>
      </c>
      <c r="H1387" s="7">
        <v>45777</v>
      </c>
      <c r="I1387" t="s">
        <v>209</v>
      </c>
    </row>
    <row r="1388" spans="1:9">
      <c r="A1388">
        <v>51387</v>
      </c>
      <c r="B1388">
        <v>3114</v>
      </c>
      <c r="C1388">
        <v>2009</v>
      </c>
      <c r="D1388" s="7">
        <v>45869</v>
      </c>
      <c r="E1388" t="s">
        <v>201</v>
      </c>
      <c r="F1388" t="s">
        <v>202</v>
      </c>
      <c r="G1388">
        <v>20</v>
      </c>
      <c r="H1388" s="7">
        <v>45899</v>
      </c>
      <c r="I1388" t="s">
        <v>211</v>
      </c>
    </row>
    <row r="1389" spans="1:9">
      <c r="A1389">
        <v>51388</v>
      </c>
      <c r="B1389">
        <v>3114</v>
      </c>
      <c r="C1389">
        <v>2009</v>
      </c>
      <c r="D1389" s="7">
        <v>45885</v>
      </c>
      <c r="E1389" t="s">
        <v>219</v>
      </c>
      <c r="F1389" t="s">
        <v>215</v>
      </c>
      <c r="G1389">
        <v>45</v>
      </c>
      <c r="H1389" s="7">
        <v>45892</v>
      </c>
      <c r="I1389" t="s">
        <v>209</v>
      </c>
    </row>
    <row r="1390" spans="1:9">
      <c r="A1390">
        <v>51389</v>
      </c>
      <c r="B1390">
        <v>3114</v>
      </c>
      <c r="C1390">
        <v>2009</v>
      </c>
      <c r="D1390" s="7">
        <v>45889</v>
      </c>
      <c r="E1390" t="s">
        <v>212</v>
      </c>
      <c r="F1390" t="s">
        <v>202</v>
      </c>
      <c r="G1390">
        <v>90</v>
      </c>
      <c r="H1390" s="7">
        <v>45903</v>
      </c>
      <c r="I1390" t="s">
        <v>203</v>
      </c>
    </row>
    <row r="1391" spans="1:9">
      <c r="A1391">
        <v>51390</v>
      </c>
      <c r="B1391">
        <v>3114</v>
      </c>
      <c r="C1391">
        <v>2009</v>
      </c>
      <c r="D1391" s="7">
        <v>45906</v>
      </c>
      <c r="E1391" t="s">
        <v>212</v>
      </c>
      <c r="F1391" t="s">
        <v>202</v>
      </c>
      <c r="G1391">
        <v>30</v>
      </c>
      <c r="H1391" s="7">
        <v>45936</v>
      </c>
      <c r="I1391" t="s">
        <v>209</v>
      </c>
    </row>
    <row r="1392" spans="1:9">
      <c r="A1392">
        <v>51391</v>
      </c>
      <c r="B1392">
        <v>3114</v>
      </c>
      <c r="C1392">
        <v>2009</v>
      </c>
      <c r="D1392" s="7">
        <v>45997</v>
      </c>
      <c r="E1392" t="s">
        <v>208</v>
      </c>
      <c r="F1392" t="s">
        <v>214</v>
      </c>
      <c r="H1392" s="7">
        <v>46004</v>
      </c>
      <c r="I1392" t="s">
        <v>209</v>
      </c>
    </row>
    <row r="1393" spans="1:9">
      <c r="A1393">
        <v>51392</v>
      </c>
      <c r="B1393">
        <v>3114</v>
      </c>
      <c r="C1393">
        <v>2009</v>
      </c>
      <c r="D1393" s="7">
        <v>46015</v>
      </c>
      <c r="E1393" t="s">
        <v>204</v>
      </c>
      <c r="F1393" t="s">
        <v>214</v>
      </c>
      <c r="H1393" s="7">
        <v>46045</v>
      </c>
      <c r="I1393" t="s">
        <v>203</v>
      </c>
    </row>
    <row r="1394" spans="1:9">
      <c r="A1394">
        <v>51393</v>
      </c>
      <c r="B1394">
        <v>3114</v>
      </c>
      <c r="C1394">
        <v>2009</v>
      </c>
      <c r="D1394" s="7">
        <v>46015</v>
      </c>
      <c r="E1394" t="s">
        <v>201</v>
      </c>
      <c r="F1394" t="s">
        <v>202</v>
      </c>
      <c r="G1394">
        <v>90</v>
      </c>
      <c r="H1394" s="7">
        <v>46018</v>
      </c>
      <c r="I1394" t="s">
        <v>209</v>
      </c>
    </row>
    <row r="1395" spans="1:9">
      <c r="A1395">
        <v>51394</v>
      </c>
      <c r="B1395">
        <v>3114</v>
      </c>
      <c r="C1395">
        <v>2009</v>
      </c>
      <c r="D1395" s="7">
        <v>46066</v>
      </c>
      <c r="E1395" t="s">
        <v>204</v>
      </c>
      <c r="F1395" t="s">
        <v>215</v>
      </c>
      <c r="G1395">
        <v>60</v>
      </c>
      <c r="H1395" s="7">
        <v>46080</v>
      </c>
      <c r="I1395" t="s">
        <v>207</v>
      </c>
    </row>
    <row r="1396" spans="1:9">
      <c r="A1396">
        <v>51395</v>
      </c>
      <c r="B1396">
        <v>3114</v>
      </c>
      <c r="C1396">
        <v>2009</v>
      </c>
      <c r="D1396" s="7">
        <v>46129</v>
      </c>
      <c r="E1396" t="s">
        <v>204</v>
      </c>
      <c r="F1396" t="s">
        <v>218</v>
      </c>
      <c r="H1396" s="7"/>
      <c r="I1396" t="s">
        <v>207</v>
      </c>
    </row>
    <row r="1397" spans="1:9">
      <c r="A1397">
        <v>51396</v>
      </c>
      <c r="B1397">
        <v>3114</v>
      </c>
      <c r="C1397">
        <v>2009</v>
      </c>
      <c r="D1397" s="7">
        <v>46146</v>
      </c>
      <c r="E1397" t="s">
        <v>208</v>
      </c>
      <c r="F1397" t="s">
        <v>202</v>
      </c>
      <c r="G1397">
        <v>90</v>
      </c>
      <c r="H1397" s="7">
        <v>46160</v>
      </c>
      <c r="I1397" t="s">
        <v>207</v>
      </c>
    </row>
    <row r="1398" spans="1:9">
      <c r="A1398">
        <v>51397</v>
      </c>
      <c r="B1398">
        <v>3114</v>
      </c>
      <c r="C1398">
        <v>2009</v>
      </c>
      <c r="D1398" s="7">
        <v>46200</v>
      </c>
      <c r="E1398" t="s">
        <v>201</v>
      </c>
      <c r="F1398" t="s">
        <v>213</v>
      </c>
      <c r="H1398" s="7"/>
      <c r="I1398" t="s">
        <v>209</v>
      </c>
    </row>
    <row r="1399" spans="1:9">
      <c r="A1399">
        <v>51398</v>
      </c>
      <c r="B1399">
        <v>3115</v>
      </c>
      <c r="C1399">
        <v>2006</v>
      </c>
      <c r="D1399" s="7">
        <v>45198</v>
      </c>
      <c r="E1399" t="s">
        <v>210</v>
      </c>
      <c r="F1399" t="s">
        <v>218</v>
      </c>
      <c r="H1399" s="7"/>
      <c r="I1399" t="s">
        <v>216</v>
      </c>
    </row>
    <row r="1400" spans="1:9">
      <c r="A1400">
        <v>51399</v>
      </c>
      <c r="B1400">
        <v>3115</v>
      </c>
      <c r="C1400">
        <v>2006</v>
      </c>
      <c r="D1400" s="7">
        <v>45212</v>
      </c>
      <c r="E1400" t="s">
        <v>204</v>
      </c>
      <c r="F1400" t="s">
        <v>202</v>
      </c>
      <c r="G1400">
        <v>90</v>
      </c>
      <c r="H1400" s="7">
        <v>45226</v>
      </c>
      <c r="I1400" t="s">
        <v>203</v>
      </c>
    </row>
    <row r="1401" spans="1:9">
      <c r="A1401">
        <v>51400</v>
      </c>
      <c r="B1401">
        <v>3115</v>
      </c>
      <c r="C1401">
        <v>2006</v>
      </c>
      <c r="D1401" s="7">
        <v>45214</v>
      </c>
      <c r="E1401" t="s">
        <v>212</v>
      </c>
      <c r="F1401" t="s">
        <v>202</v>
      </c>
      <c r="G1401">
        <v>15</v>
      </c>
      <c r="H1401" s="7">
        <v>45235</v>
      </c>
      <c r="I1401" t="s">
        <v>211</v>
      </c>
    </row>
    <row r="1402" spans="1:9">
      <c r="A1402">
        <v>51401</v>
      </c>
      <c r="B1402">
        <v>3115</v>
      </c>
      <c r="C1402">
        <v>2006</v>
      </c>
      <c r="D1402" s="7">
        <v>45422</v>
      </c>
      <c r="E1402" t="s">
        <v>210</v>
      </c>
      <c r="F1402" t="s">
        <v>214</v>
      </c>
      <c r="H1402" s="7">
        <v>45429</v>
      </c>
      <c r="I1402" t="s">
        <v>211</v>
      </c>
    </row>
    <row r="1403" spans="1:9">
      <c r="A1403">
        <v>51402</v>
      </c>
      <c r="B1403">
        <v>3115</v>
      </c>
      <c r="C1403">
        <v>2006</v>
      </c>
      <c r="D1403" s="7">
        <v>45498</v>
      </c>
      <c r="E1403" t="s">
        <v>212</v>
      </c>
      <c r="F1403" t="s">
        <v>202</v>
      </c>
      <c r="G1403">
        <v>10</v>
      </c>
      <c r="H1403" s="7">
        <v>45528</v>
      </c>
      <c r="I1403" t="s">
        <v>207</v>
      </c>
    </row>
    <row r="1404" spans="1:9">
      <c r="A1404">
        <v>51403</v>
      </c>
      <c r="B1404">
        <v>3115</v>
      </c>
      <c r="C1404">
        <v>2006</v>
      </c>
      <c r="D1404" s="7">
        <v>45671</v>
      </c>
      <c r="E1404" t="s">
        <v>210</v>
      </c>
      <c r="F1404" t="s">
        <v>214</v>
      </c>
      <c r="H1404" s="7">
        <v>45685</v>
      </c>
      <c r="I1404" t="s">
        <v>206</v>
      </c>
    </row>
    <row r="1405" spans="1:9">
      <c r="A1405">
        <v>51404</v>
      </c>
      <c r="B1405">
        <v>3115</v>
      </c>
      <c r="C1405">
        <v>2006</v>
      </c>
      <c r="D1405" s="7">
        <v>45700</v>
      </c>
      <c r="E1405" t="s">
        <v>201</v>
      </c>
      <c r="F1405" t="s">
        <v>202</v>
      </c>
      <c r="G1405">
        <v>15</v>
      </c>
      <c r="H1405" s="7">
        <v>45703</v>
      </c>
      <c r="I1405" t="s">
        <v>209</v>
      </c>
    </row>
    <row r="1406" spans="1:9">
      <c r="A1406">
        <v>51405</v>
      </c>
      <c r="B1406">
        <v>3115</v>
      </c>
      <c r="C1406">
        <v>2006</v>
      </c>
      <c r="D1406" s="7">
        <v>45750</v>
      </c>
      <c r="E1406" t="s">
        <v>212</v>
      </c>
      <c r="F1406" t="s">
        <v>215</v>
      </c>
      <c r="G1406">
        <v>90</v>
      </c>
      <c r="H1406" s="7">
        <v>45753</v>
      </c>
      <c r="I1406" t="s">
        <v>211</v>
      </c>
    </row>
    <row r="1407" spans="1:9">
      <c r="A1407">
        <v>51406</v>
      </c>
      <c r="B1407">
        <v>3115</v>
      </c>
      <c r="C1407">
        <v>2006</v>
      </c>
      <c r="D1407" s="7">
        <v>45775</v>
      </c>
      <c r="E1407" t="s">
        <v>204</v>
      </c>
      <c r="F1407" t="s">
        <v>202</v>
      </c>
      <c r="G1407">
        <v>45</v>
      </c>
      <c r="H1407" s="7">
        <v>45789</v>
      </c>
      <c r="I1407" t="s">
        <v>203</v>
      </c>
    </row>
    <row r="1408" spans="1:9">
      <c r="A1408">
        <v>51407</v>
      </c>
      <c r="B1408">
        <v>3115</v>
      </c>
      <c r="C1408">
        <v>2006</v>
      </c>
      <c r="D1408" s="7">
        <v>46033</v>
      </c>
      <c r="E1408" t="s">
        <v>201</v>
      </c>
      <c r="F1408" t="s">
        <v>202</v>
      </c>
      <c r="G1408">
        <v>10</v>
      </c>
      <c r="H1408" s="7">
        <v>46036</v>
      </c>
      <c r="I1408" t="s">
        <v>203</v>
      </c>
    </row>
    <row r="1409" spans="1:9">
      <c r="A1409">
        <v>51408</v>
      </c>
      <c r="B1409">
        <v>3115</v>
      </c>
      <c r="C1409">
        <v>2006</v>
      </c>
      <c r="D1409" s="7">
        <v>46126</v>
      </c>
      <c r="E1409" t="s">
        <v>219</v>
      </c>
      <c r="F1409" t="s">
        <v>202</v>
      </c>
      <c r="G1409">
        <v>30</v>
      </c>
      <c r="H1409" s="7">
        <v>46156</v>
      </c>
      <c r="I1409" t="s">
        <v>203</v>
      </c>
    </row>
    <row r="1410" spans="1:9">
      <c r="A1410">
        <v>51409</v>
      </c>
      <c r="B1410">
        <v>3115</v>
      </c>
      <c r="C1410">
        <v>2006</v>
      </c>
      <c r="D1410" s="7">
        <v>46129</v>
      </c>
      <c r="E1410" t="s">
        <v>204</v>
      </c>
      <c r="F1410" t="s">
        <v>202</v>
      </c>
      <c r="G1410">
        <v>30</v>
      </c>
      <c r="H1410" s="7">
        <v>46159</v>
      </c>
      <c r="I1410" t="s">
        <v>217</v>
      </c>
    </row>
    <row r="1411" spans="1:9">
      <c r="A1411">
        <v>51410</v>
      </c>
      <c r="B1411">
        <v>3115</v>
      </c>
      <c r="C1411">
        <v>2006</v>
      </c>
      <c r="D1411" s="7">
        <v>46147</v>
      </c>
      <c r="E1411" t="s">
        <v>210</v>
      </c>
      <c r="F1411" t="s">
        <v>218</v>
      </c>
      <c r="H1411" s="7"/>
      <c r="I1411" t="s">
        <v>217</v>
      </c>
    </row>
    <row r="1412" spans="1:9">
      <c r="A1412">
        <v>51411</v>
      </c>
      <c r="B1412">
        <v>3116</v>
      </c>
      <c r="C1412">
        <v>2005</v>
      </c>
      <c r="D1412" s="7">
        <v>45400</v>
      </c>
      <c r="E1412" t="s">
        <v>201</v>
      </c>
      <c r="F1412" t="s">
        <v>205</v>
      </c>
      <c r="H1412" s="7"/>
      <c r="I1412" t="s">
        <v>217</v>
      </c>
    </row>
    <row r="1413" spans="1:9">
      <c r="A1413">
        <v>51412</v>
      </c>
      <c r="B1413">
        <v>3116</v>
      </c>
      <c r="C1413">
        <v>2005</v>
      </c>
      <c r="D1413" s="7">
        <v>45564</v>
      </c>
      <c r="E1413" t="s">
        <v>212</v>
      </c>
      <c r="F1413" t="s">
        <v>205</v>
      </c>
      <c r="H1413" s="7"/>
      <c r="I1413" t="s">
        <v>209</v>
      </c>
    </row>
    <row r="1414" spans="1:9">
      <c r="A1414">
        <v>51413</v>
      </c>
      <c r="B1414">
        <v>3116</v>
      </c>
      <c r="C1414">
        <v>2005</v>
      </c>
      <c r="D1414" s="7">
        <v>45724</v>
      </c>
      <c r="E1414" t="s">
        <v>204</v>
      </c>
      <c r="F1414" t="s">
        <v>215</v>
      </c>
      <c r="G1414">
        <v>15</v>
      </c>
      <c r="H1414" s="7">
        <v>45754</v>
      </c>
      <c r="I1414" t="s">
        <v>216</v>
      </c>
    </row>
    <row r="1415" spans="1:9">
      <c r="A1415">
        <v>51414</v>
      </c>
      <c r="B1415">
        <v>3116</v>
      </c>
      <c r="C1415">
        <v>2005</v>
      </c>
      <c r="D1415" s="7">
        <v>45965</v>
      </c>
      <c r="E1415" t="s">
        <v>210</v>
      </c>
      <c r="F1415" t="s">
        <v>214</v>
      </c>
      <c r="H1415" s="7">
        <v>45995</v>
      </c>
      <c r="I1415" t="s">
        <v>211</v>
      </c>
    </row>
    <row r="1416" spans="1:9">
      <c r="A1416">
        <v>51415</v>
      </c>
      <c r="B1416">
        <v>3116</v>
      </c>
      <c r="C1416">
        <v>2005</v>
      </c>
      <c r="D1416" s="7">
        <v>45975</v>
      </c>
      <c r="E1416" t="s">
        <v>208</v>
      </c>
      <c r="F1416" t="s">
        <v>218</v>
      </c>
      <c r="H1416" s="7"/>
      <c r="I1416" t="s">
        <v>209</v>
      </c>
    </row>
    <row r="1417" spans="1:9">
      <c r="A1417">
        <v>51416</v>
      </c>
      <c r="B1417">
        <v>3116</v>
      </c>
      <c r="C1417">
        <v>2005</v>
      </c>
      <c r="D1417" s="7">
        <v>46058</v>
      </c>
      <c r="E1417" t="s">
        <v>219</v>
      </c>
      <c r="F1417" t="s">
        <v>205</v>
      </c>
      <c r="H1417" s="7"/>
      <c r="I1417" t="s">
        <v>203</v>
      </c>
    </row>
    <row r="1418" spans="1:9">
      <c r="A1418">
        <v>51417</v>
      </c>
      <c r="B1418">
        <v>3117</v>
      </c>
      <c r="C1418">
        <v>2003</v>
      </c>
      <c r="D1418" s="7">
        <v>46140</v>
      </c>
      <c r="E1418" t="s">
        <v>201</v>
      </c>
      <c r="F1418" t="s">
        <v>202</v>
      </c>
      <c r="G1418">
        <v>45</v>
      </c>
      <c r="H1418" s="7">
        <v>46147</v>
      </c>
      <c r="I1418" t="s">
        <v>211</v>
      </c>
    </row>
    <row r="1419" spans="1:9">
      <c r="A1419">
        <v>51418</v>
      </c>
      <c r="B1419">
        <v>3117</v>
      </c>
      <c r="C1419">
        <v>2003</v>
      </c>
      <c r="D1419" s="7">
        <v>46147</v>
      </c>
      <c r="E1419" t="s">
        <v>219</v>
      </c>
      <c r="F1419" t="s">
        <v>214</v>
      </c>
      <c r="H1419" s="7">
        <v>46168</v>
      </c>
      <c r="I1419" t="s">
        <v>209</v>
      </c>
    </row>
    <row r="1420" spans="1:9">
      <c r="A1420">
        <v>51419</v>
      </c>
      <c r="B1420">
        <v>3117</v>
      </c>
      <c r="C1420">
        <v>2003</v>
      </c>
      <c r="D1420" s="7">
        <v>46149</v>
      </c>
      <c r="E1420" t="s">
        <v>201</v>
      </c>
      <c r="F1420" t="s">
        <v>214</v>
      </c>
      <c r="H1420" s="7">
        <v>46156</v>
      </c>
      <c r="I1420" t="s">
        <v>216</v>
      </c>
    </row>
    <row r="1421" spans="1:9">
      <c r="A1421">
        <v>51420</v>
      </c>
      <c r="B1421">
        <v>3117</v>
      </c>
      <c r="C1421">
        <v>2003</v>
      </c>
      <c r="D1421" s="7">
        <v>46152</v>
      </c>
      <c r="E1421" t="s">
        <v>212</v>
      </c>
      <c r="F1421" t="s">
        <v>218</v>
      </c>
      <c r="H1421" s="7"/>
      <c r="I1421" t="s">
        <v>216</v>
      </c>
    </row>
    <row r="1422" spans="1:9">
      <c r="A1422">
        <v>51421</v>
      </c>
      <c r="B1422">
        <v>3117</v>
      </c>
      <c r="C1422">
        <v>2003</v>
      </c>
      <c r="D1422" s="7">
        <v>46152</v>
      </c>
      <c r="E1422" t="s">
        <v>212</v>
      </c>
      <c r="F1422" t="s">
        <v>218</v>
      </c>
      <c r="H1422" s="7"/>
      <c r="I1422" t="s">
        <v>207</v>
      </c>
    </row>
    <row r="1423" spans="1:9">
      <c r="A1423">
        <v>51422</v>
      </c>
      <c r="B1423">
        <v>3117</v>
      </c>
      <c r="C1423">
        <v>2003</v>
      </c>
      <c r="D1423" s="7">
        <v>46154</v>
      </c>
      <c r="E1423" t="s">
        <v>212</v>
      </c>
      <c r="F1423" t="s">
        <v>213</v>
      </c>
      <c r="H1423" s="7">
        <v>46157</v>
      </c>
      <c r="I1423" t="s">
        <v>206</v>
      </c>
    </row>
    <row r="1424" spans="1:9">
      <c r="A1424">
        <v>51423</v>
      </c>
      <c r="B1424">
        <v>3117</v>
      </c>
      <c r="C1424">
        <v>2003</v>
      </c>
      <c r="D1424" s="7">
        <v>46154</v>
      </c>
      <c r="E1424" t="s">
        <v>212</v>
      </c>
      <c r="F1424" t="s">
        <v>202</v>
      </c>
      <c r="G1424">
        <v>10</v>
      </c>
      <c r="H1424" s="7">
        <v>46184</v>
      </c>
      <c r="I1424" t="s">
        <v>207</v>
      </c>
    </row>
    <row r="1425" spans="1:9">
      <c r="A1425">
        <v>51424</v>
      </c>
      <c r="B1425">
        <v>3117</v>
      </c>
      <c r="C1425">
        <v>2003</v>
      </c>
      <c r="D1425" s="7">
        <v>46161</v>
      </c>
      <c r="E1425" t="s">
        <v>210</v>
      </c>
      <c r="F1425" t="s">
        <v>214</v>
      </c>
      <c r="H1425" s="7">
        <v>46191</v>
      </c>
      <c r="I1425" t="s">
        <v>209</v>
      </c>
    </row>
    <row r="1426" spans="1:9">
      <c r="A1426">
        <v>51425</v>
      </c>
      <c r="B1426">
        <v>3117</v>
      </c>
      <c r="C1426">
        <v>2003</v>
      </c>
      <c r="D1426" s="7">
        <v>46163</v>
      </c>
      <c r="E1426" t="s">
        <v>212</v>
      </c>
      <c r="F1426" t="s">
        <v>202</v>
      </c>
      <c r="G1426">
        <v>30</v>
      </c>
      <c r="H1426" s="7">
        <v>46166</v>
      </c>
      <c r="I1426" t="s">
        <v>211</v>
      </c>
    </row>
    <row r="1427" spans="1:9">
      <c r="A1427">
        <v>51426</v>
      </c>
      <c r="B1427">
        <v>3117</v>
      </c>
      <c r="C1427">
        <v>2003</v>
      </c>
      <c r="D1427" s="7">
        <v>46167</v>
      </c>
      <c r="E1427" t="s">
        <v>212</v>
      </c>
      <c r="F1427" t="s">
        <v>202</v>
      </c>
      <c r="G1427">
        <v>90</v>
      </c>
      <c r="H1427" s="7">
        <v>46170</v>
      </c>
      <c r="I1427" t="s">
        <v>207</v>
      </c>
    </row>
    <row r="1428" spans="1:9">
      <c r="A1428">
        <v>51427</v>
      </c>
      <c r="B1428">
        <v>3117</v>
      </c>
      <c r="C1428">
        <v>2003</v>
      </c>
      <c r="D1428" s="7">
        <v>46171</v>
      </c>
      <c r="E1428" t="s">
        <v>204</v>
      </c>
      <c r="F1428" t="s">
        <v>205</v>
      </c>
      <c r="H1428" s="7"/>
      <c r="I1428" t="s">
        <v>211</v>
      </c>
    </row>
    <row r="1429" spans="1:9">
      <c r="A1429">
        <v>51428</v>
      </c>
      <c r="B1429">
        <v>3117</v>
      </c>
      <c r="C1429">
        <v>2003</v>
      </c>
      <c r="D1429" s="7">
        <v>46173</v>
      </c>
      <c r="E1429" t="s">
        <v>208</v>
      </c>
      <c r="F1429" t="s">
        <v>202</v>
      </c>
      <c r="G1429">
        <v>15</v>
      </c>
      <c r="H1429" s="7">
        <v>46203</v>
      </c>
      <c r="I1429" t="s">
        <v>216</v>
      </c>
    </row>
    <row r="1430" spans="1:9">
      <c r="A1430">
        <v>51429</v>
      </c>
      <c r="B1430">
        <v>3117</v>
      </c>
      <c r="C1430">
        <v>2003</v>
      </c>
      <c r="D1430" s="7">
        <v>46181</v>
      </c>
      <c r="E1430" t="s">
        <v>201</v>
      </c>
      <c r="F1430" t="s">
        <v>215</v>
      </c>
      <c r="G1430">
        <v>15</v>
      </c>
      <c r="H1430" s="7">
        <v>46188</v>
      </c>
      <c r="I1430" t="s">
        <v>207</v>
      </c>
    </row>
    <row r="1431" spans="1:9">
      <c r="A1431">
        <v>51430</v>
      </c>
      <c r="B1431">
        <v>3118</v>
      </c>
      <c r="C1431">
        <v>2012</v>
      </c>
      <c r="D1431" s="7">
        <v>45432</v>
      </c>
      <c r="E1431" t="s">
        <v>201</v>
      </c>
      <c r="F1431" t="s">
        <v>214</v>
      </c>
      <c r="H1431" s="7">
        <v>45446</v>
      </c>
      <c r="I1431" t="s">
        <v>203</v>
      </c>
    </row>
    <row r="1432" spans="1:9">
      <c r="A1432">
        <v>51431</v>
      </c>
      <c r="B1432">
        <v>3118</v>
      </c>
      <c r="C1432">
        <v>2012</v>
      </c>
      <c r="D1432" s="7">
        <v>45435</v>
      </c>
      <c r="E1432" t="s">
        <v>212</v>
      </c>
      <c r="F1432" t="s">
        <v>202</v>
      </c>
      <c r="G1432">
        <v>90</v>
      </c>
      <c r="H1432" s="7">
        <v>45465</v>
      </c>
      <c r="I1432" t="s">
        <v>217</v>
      </c>
    </row>
    <row r="1433" spans="1:9">
      <c r="A1433">
        <v>51432</v>
      </c>
      <c r="B1433">
        <v>3118</v>
      </c>
      <c r="C1433">
        <v>2012</v>
      </c>
      <c r="D1433" s="7">
        <v>45461</v>
      </c>
      <c r="E1433" t="s">
        <v>219</v>
      </c>
      <c r="F1433" t="s">
        <v>202</v>
      </c>
      <c r="G1433">
        <v>60</v>
      </c>
      <c r="H1433" s="7">
        <v>45464</v>
      </c>
      <c r="I1433" t="s">
        <v>203</v>
      </c>
    </row>
    <row r="1434" spans="1:9">
      <c r="A1434">
        <v>51433</v>
      </c>
      <c r="B1434">
        <v>3118</v>
      </c>
      <c r="C1434">
        <v>2012</v>
      </c>
      <c r="D1434" s="7">
        <v>45462</v>
      </c>
      <c r="E1434" t="s">
        <v>219</v>
      </c>
      <c r="F1434" t="s">
        <v>202</v>
      </c>
      <c r="G1434">
        <v>15</v>
      </c>
      <c r="H1434" s="7">
        <v>45469</v>
      </c>
      <c r="I1434" t="s">
        <v>207</v>
      </c>
    </row>
    <row r="1435" spans="1:9">
      <c r="A1435">
        <v>51434</v>
      </c>
      <c r="B1435">
        <v>3118</v>
      </c>
      <c r="C1435">
        <v>2012</v>
      </c>
      <c r="D1435" s="7">
        <v>45476</v>
      </c>
      <c r="E1435" t="s">
        <v>208</v>
      </c>
      <c r="F1435" t="s">
        <v>202</v>
      </c>
      <c r="G1435">
        <v>20</v>
      </c>
      <c r="H1435" s="7">
        <v>45506</v>
      </c>
      <c r="I1435" t="s">
        <v>217</v>
      </c>
    </row>
    <row r="1436" spans="1:9">
      <c r="A1436">
        <v>51435</v>
      </c>
      <c r="B1436">
        <v>3118</v>
      </c>
      <c r="C1436">
        <v>2012</v>
      </c>
      <c r="D1436" s="7">
        <v>45486</v>
      </c>
      <c r="E1436" t="s">
        <v>204</v>
      </c>
      <c r="F1436" t="s">
        <v>214</v>
      </c>
      <c r="H1436" s="7">
        <v>45507</v>
      </c>
      <c r="I1436" t="s">
        <v>216</v>
      </c>
    </row>
    <row r="1437" spans="1:9">
      <c r="A1437">
        <v>51436</v>
      </c>
      <c r="B1437">
        <v>3118</v>
      </c>
      <c r="C1437">
        <v>2012</v>
      </c>
      <c r="D1437" s="7">
        <v>45563</v>
      </c>
      <c r="E1437" t="s">
        <v>219</v>
      </c>
      <c r="F1437" t="s">
        <v>213</v>
      </c>
      <c r="H1437" s="7">
        <v>45577</v>
      </c>
      <c r="I1437" t="s">
        <v>207</v>
      </c>
    </row>
    <row r="1438" spans="1:9">
      <c r="A1438">
        <v>51437</v>
      </c>
      <c r="B1438">
        <v>3118</v>
      </c>
      <c r="C1438">
        <v>2012</v>
      </c>
      <c r="D1438" s="7">
        <v>45660</v>
      </c>
      <c r="E1438" t="s">
        <v>212</v>
      </c>
      <c r="F1438" t="s">
        <v>213</v>
      </c>
      <c r="H1438" s="7">
        <v>45667</v>
      </c>
      <c r="I1438" t="s">
        <v>203</v>
      </c>
    </row>
    <row r="1439" spans="1:9">
      <c r="A1439">
        <v>51438</v>
      </c>
      <c r="B1439">
        <v>3118</v>
      </c>
      <c r="C1439">
        <v>2012</v>
      </c>
      <c r="D1439" s="7">
        <v>45683</v>
      </c>
      <c r="E1439" t="s">
        <v>219</v>
      </c>
      <c r="F1439" t="s">
        <v>202</v>
      </c>
      <c r="G1439">
        <v>15</v>
      </c>
      <c r="H1439" s="7">
        <v>45704</v>
      </c>
      <c r="I1439" t="s">
        <v>207</v>
      </c>
    </row>
    <row r="1440" spans="1:9">
      <c r="A1440">
        <v>51439</v>
      </c>
      <c r="B1440">
        <v>3118</v>
      </c>
      <c r="C1440">
        <v>2012</v>
      </c>
      <c r="D1440" s="7">
        <v>45701</v>
      </c>
      <c r="E1440" t="s">
        <v>212</v>
      </c>
      <c r="F1440" t="s">
        <v>202</v>
      </c>
      <c r="G1440">
        <v>60</v>
      </c>
      <c r="H1440" s="7">
        <v>45704</v>
      </c>
      <c r="I1440" t="s">
        <v>203</v>
      </c>
    </row>
    <row r="1441" spans="1:9">
      <c r="A1441">
        <v>51440</v>
      </c>
      <c r="B1441">
        <v>3118</v>
      </c>
      <c r="C1441">
        <v>2012</v>
      </c>
      <c r="D1441" s="7">
        <v>45718</v>
      </c>
      <c r="E1441" t="s">
        <v>204</v>
      </c>
      <c r="F1441" t="s">
        <v>202</v>
      </c>
      <c r="G1441">
        <v>20</v>
      </c>
      <c r="H1441" s="7">
        <v>45725</v>
      </c>
      <c r="I1441" t="s">
        <v>216</v>
      </c>
    </row>
    <row r="1442" spans="1:9">
      <c r="A1442">
        <v>51441</v>
      </c>
      <c r="B1442">
        <v>3118</v>
      </c>
      <c r="C1442">
        <v>2012</v>
      </c>
      <c r="D1442" s="7">
        <v>45728</v>
      </c>
      <c r="E1442" t="s">
        <v>210</v>
      </c>
      <c r="F1442" t="s">
        <v>214</v>
      </c>
      <c r="H1442" s="7">
        <v>45735</v>
      </c>
      <c r="I1442" t="s">
        <v>203</v>
      </c>
    </row>
    <row r="1443" spans="1:9">
      <c r="A1443">
        <v>51442</v>
      </c>
      <c r="B1443">
        <v>3118</v>
      </c>
      <c r="C1443">
        <v>2012</v>
      </c>
      <c r="D1443" s="7">
        <v>45752</v>
      </c>
      <c r="E1443" t="s">
        <v>212</v>
      </c>
      <c r="F1443" t="s">
        <v>202</v>
      </c>
      <c r="G1443">
        <v>20</v>
      </c>
      <c r="H1443" s="7">
        <v>45773</v>
      </c>
      <c r="I1443" t="s">
        <v>209</v>
      </c>
    </row>
    <row r="1444" spans="1:9">
      <c r="A1444">
        <v>51443</v>
      </c>
      <c r="B1444">
        <v>3119</v>
      </c>
      <c r="C1444">
        <v>2015</v>
      </c>
      <c r="D1444" s="7">
        <v>45985</v>
      </c>
      <c r="E1444" t="s">
        <v>212</v>
      </c>
      <c r="F1444" t="s">
        <v>202</v>
      </c>
      <c r="G1444">
        <v>10</v>
      </c>
      <c r="H1444" s="7">
        <v>45988</v>
      </c>
      <c r="I1444" t="s">
        <v>211</v>
      </c>
    </row>
    <row r="1445" spans="1:9">
      <c r="A1445">
        <v>51444</v>
      </c>
      <c r="B1445">
        <v>3119</v>
      </c>
      <c r="C1445">
        <v>2015</v>
      </c>
      <c r="D1445" s="7">
        <v>45993</v>
      </c>
      <c r="E1445" t="s">
        <v>204</v>
      </c>
      <c r="F1445" t="s">
        <v>215</v>
      </c>
      <c r="G1445">
        <v>45</v>
      </c>
      <c r="H1445" s="7">
        <v>46007</v>
      </c>
      <c r="I1445" t="s">
        <v>217</v>
      </c>
    </row>
    <row r="1446" spans="1:9">
      <c r="A1446">
        <v>51445</v>
      </c>
      <c r="B1446">
        <v>3119</v>
      </c>
      <c r="C1446">
        <v>2015</v>
      </c>
      <c r="D1446" s="7">
        <v>45997</v>
      </c>
      <c r="E1446" t="s">
        <v>212</v>
      </c>
      <c r="F1446" t="s">
        <v>214</v>
      </c>
      <c r="H1446" s="7">
        <v>46000</v>
      </c>
      <c r="I1446" t="s">
        <v>209</v>
      </c>
    </row>
    <row r="1447" spans="1:9">
      <c r="A1447">
        <v>51446</v>
      </c>
      <c r="B1447">
        <v>3119</v>
      </c>
      <c r="C1447">
        <v>2015</v>
      </c>
      <c r="D1447" s="7">
        <v>46001</v>
      </c>
      <c r="E1447" t="s">
        <v>210</v>
      </c>
      <c r="F1447" t="s">
        <v>214</v>
      </c>
      <c r="H1447" s="7">
        <v>46031</v>
      </c>
      <c r="I1447" t="s">
        <v>217</v>
      </c>
    </row>
    <row r="1448" spans="1:9">
      <c r="A1448">
        <v>51447</v>
      </c>
      <c r="B1448">
        <v>3119</v>
      </c>
      <c r="C1448">
        <v>2015</v>
      </c>
      <c r="D1448" s="7">
        <v>46011</v>
      </c>
      <c r="E1448" t="s">
        <v>204</v>
      </c>
      <c r="F1448" t="s">
        <v>202</v>
      </c>
      <c r="G1448">
        <v>15</v>
      </c>
      <c r="H1448" s="7">
        <v>46018</v>
      </c>
      <c r="I1448" t="s">
        <v>211</v>
      </c>
    </row>
    <row r="1449" spans="1:9">
      <c r="A1449">
        <v>51448</v>
      </c>
      <c r="B1449">
        <v>3119</v>
      </c>
      <c r="C1449">
        <v>2015</v>
      </c>
      <c r="D1449" s="7">
        <v>46013</v>
      </c>
      <c r="E1449" t="s">
        <v>204</v>
      </c>
      <c r="F1449" t="s">
        <v>202</v>
      </c>
      <c r="G1449">
        <v>20</v>
      </c>
      <c r="H1449" s="7">
        <v>46027</v>
      </c>
      <c r="I1449" t="s">
        <v>207</v>
      </c>
    </row>
    <row r="1450" spans="1:9">
      <c r="A1450">
        <v>51449</v>
      </c>
      <c r="B1450">
        <v>3119</v>
      </c>
      <c r="C1450">
        <v>2015</v>
      </c>
      <c r="D1450" s="7">
        <v>46013</v>
      </c>
      <c r="E1450" t="s">
        <v>219</v>
      </c>
      <c r="F1450" t="s">
        <v>202</v>
      </c>
      <c r="G1450">
        <v>15</v>
      </c>
      <c r="H1450" s="7">
        <v>46016</v>
      </c>
      <c r="I1450" t="s">
        <v>206</v>
      </c>
    </row>
    <row r="1451" spans="1:9">
      <c r="A1451">
        <v>51450</v>
      </c>
      <c r="B1451">
        <v>3119</v>
      </c>
      <c r="C1451">
        <v>2015</v>
      </c>
      <c r="D1451" s="7">
        <v>46013</v>
      </c>
      <c r="E1451" t="s">
        <v>204</v>
      </c>
      <c r="F1451" t="s">
        <v>202</v>
      </c>
      <c r="G1451">
        <v>90</v>
      </c>
      <c r="H1451" s="7">
        <v>46027</v>
      </c>
      <c r="I1451" t="s">
        <v>207</v>
      </c>
    </row>
    <row r="1452" spans="1:9">
      <c r="A1452">
        <v>51451</v>
      </c>
      <c r="B1452">
        <v>3119</v>
      </c>
      <c r="C1452">
        <v>2015</v>
      </c>
      <c r="D1452" s="7">
        <v>46016</v>
      </c>
      <c r="E1452" t="s">
        <v>212</v>
      </c>
      <c r="F1452" t="s">
        <v>214</v>
      </c>
      <c r="H1452" s="7">
        <v>46046</v>
      </c>
      <c r="I1452" t="s">
        <v>217</v>
      </c>
    </row>
    <row r="1453" spans="1:9">
      <c r="A1453">
        <v>51452</v>
      </c>
      <c r="B1453">
        <v>3119</v>
      </c>
      <c r="C1453">
        <v>2015</v>
      </c>
      <c r="D1453" s="7">
        <v>46028</v>
      </c>
      <c r="E1453" t="s">
        <v>219</v>
      </c>
      <c r="F1453" t="s">
        <v>202</v>
      </c>
      <c r="G1453">
        <v>30</v>
      </c>
      <c r="H1453" s="7">
        <v>46031</v>
      </c>
      <c r="I1453" t="s">
        <v>203</v>
      </c>
    </row>
    <row r="1454" spans="1:9">
      <c r="A1454">
        <v>51453</v>
      </c>
      <c r="B1454">
        <v>3119</v>
      </c>
      <c r="C1454">
        <v>2015</v>
      </c>
      <c r="D1454" s="7">
        <v>46039</v>
      </c>
      <c r="E1454" t="s">
        <v>204</v>
      </c>
      <c r="F1454" t="s">
        <v>218</v>
      </c>
      <c r="H1454" s="7"/>
      <c r="I1454" t="s">
        <v>206</v>
      </c>
    </row>
    <row r="1455" spans="1:9">
      <c r="A1455">
        <v>51454</v>
      </c>
      <c r="B1455">
        <v>3119</v>
      </c>
      <c r="C1455">
        <v>2015</v>
      </c>
      <c r="D1455" s="7">
        <v>46044</v>
      </c>
      <c r="E1455" t="s">
        <v>219</v>
      </c>
      <c r="F1455" t="s">
        <v>202</v>
      </c>
      <c r="G1455">
        <v>30</v>
      </c>
      <c r="H1455" s="7">
        <v>46051</v>
      </c>
      <c r="I1455" t="s">
        <v>216</v>
      </c>
    </row>
    <row r="1456" spans="1:9">
      <c r="A1456">
        <v>51455</v>
      </c>
      <c r="B1456">
        <v>3119</v>
      </c>
      <c r="C1456">
        <v>2015</v>
      </c>
      <c r="D1456" s="7">
        <v>46047</v>
      </c>
      <c r="E1456" t="s">
        <v>212</v>
      </c>
      <c r="F1456" t="s">
        <v>202</v>
      </c>
      <c r="G1456">
        <v>20</v>
      </c>
      <c r="H1456" s="7">
        <v>46077</v>
      </c>
      <c r="I1456" t="s">
        <v>211</v>
      </c>
    </row>
    <row r="1457" spans="1:9">
      <c r="A1457">
        <v>51456</v>
      </c>
      <c r="B1457">
        <v>3119</v>
      </c>
      <c r="C1457">
        <v>2015</v>
      </c>
      <c r="D1457" s="7">
        <v>46052</v>
      </c>
      <c r="E1457" t="s">
        <v>204</v>
      </c>
      <c r="F1457" t="s">
        <v>205</v>
      </c>
      <c r="H1457" s="7"/>
      <c r="I1457" t="s">
        <v>211</v>
      </c>
    </row>
    <row r="1458" spans="1:9">
      <c r="A1458">
        <v>51457</v>
      </c>
      <c r="B1458">
        <v>3119</v>
      </c>
      <c r="C1458">
        <v>2015</v>
      </c>
      <c r="D1458" s="7">
        <v>46056</v>
      </c>
      <c r="E1458" t="s">
        <v>208</v>
      </c>
      <c r="F1458" t="s">
        <v>215</v>
      </c>
      <c r="G1458">
        <v>30</v>
      </c>
      <c r="H1458" s="7">
        <v>46086</v>
      </c>
      <c r="I1458" t="s">
        <v>207</v>
      </c>
    </row>
    <row r="1459" spans="1:9">
      <c r="A1459">
        <v>51458</v>
      </c>
      <c r="B1459">
        <v>3119</v>
      </c>
      <c r="C1459">
        <v>2015</v>
      </c>
      <c r="D1459" s="7">
        <v>46058</v>
      </c>
      <c r="E1459" t="s">
        <v>212</v>
      </c>
      <c r="F1459" t="s">
        <v>202</v>
      </c>
      <c r="G1459">
        <v>10</v>
      </c>
      <c r="H1459" s="7">
        <v>46088</v>
      </c>
      <c r="I1459" t="s">
        <v>209</v>
      </c>
    </row>
    <row r="1460" spans="1:9">
      <c r="A1460">
        <v>51459</v>
      </c>
      <c r="B1460">
        <v>3119</v>
      </c>
      <c r="C1460">
        <v>2015</v>
      </c>
      <c r="D1460" s="7">
        <v>46060</v>
      </c>
      <c r="E1460" t="s">
        <v>204</v>
      </c>
      <c r="F1460" t="s">
        <v>215</v>
      </c>
      <c r="G1460">
        <v>45</v>
      </c>
      <c r="H1460" s="7">
        <v>46063</v>
      </c>
      <c r="I1460" t="s">
        <v>206</v>
      </c>
    </row>
    <row r="1461" spans="1:9">
      <c r="A1461">
        <v>51460</v>
      </c>
      <c r="B1461">
        <v>3120</v>
      </c>
      <c r="C1461">
        <v>2003</v>
      </c>
      <c r="D1461" s="7">
        <v>46146</v>
      </c>
      <c r="E1461" t="s">
        <v>201</v>
      </c>
      <c r="F1461" t="s">
        <v>214</v>
      </c>
      <c r="H1461" s="7">
        <v>46160</v>
      </c>
      <c r="I1461" t="s">
        <v>217</v>
      </c>
    </row>
    <row r="1462" spans="1:9">
      <c r="A1462">
        <v>51461</v>
      </c>
      <c r="B1462">
        <v>3120</v>
      </c>
      <c r="C1462">
        <v>2003</v>
      </c>
      <c r="D1462" s="7">
        <v>46156</v>
      </c>
      <c r="E1462" t="s">
        <v>212</v>
      </c>
      <c r="F1462" t="s">
        <v>202</v>
      </c>
      <c r="G1462">
        <v>30</v>
      </c>
      <c r="H1462" s="7">
        <v>46186</v>
      </c>
      <c r="I1462" t="s">
        <v>209</v>
      </c>
    </row>
    <row r="1463" spans="1:9">
      <c r="A1463">
        <v>51462</v>
      </c>
      <c r="B1463">
        <v>3120</v>
      </c>
      <c r="C1463">
        <v>2003</v>
      </c>
      <c r="D1463" s="7">
        <v>46168</v>
      </c>
      <c r="E1463" t="s">
        <v>204</v>
      </c>
      <c r="F1463" t="s">
        <v>202</v>
      </c>
      <c r="G1463">
        <v>90</v>
      </c>
      <c r="H1463" s="7">
        <v>46171</v>
      </c>
      <c r="I1463" t="s">
        <v>207</v>
      </c>
    </row>
    <row r="1464" spans="1:9">
      <c r="A1464">
        <v>51463</v>
      </c>
      <c r="B1464">
        <v>3120</v>
      </c>
      <c r="C1464">
        <v>2003</v>
      </c>
      <c r="D1464" s="7">
        <v>46174</v>
      </c>
      <c r="E1464" t="s">
        <v>219</v>
      </c>
      <c r="F1464" t="s">
        <v>202</v>
      </c>
      <c r="G1464">
        <v>60</v>
      </c>
      <c r="H1464" s="7">
        <v>46204</v>
      </c>
      <c r="I1464" t="s">
        <v>217</v>
      </c>
    </row>
    <row r="1465" spans="1:9">
      <c r="A1465">
        <v>51464</v>
      </c>
      <c r="B1465">
        <v>3120</v>
      </c>
      <c r="C1465">
        <v>2003</v>
      </c>
      <c r="D1465" s="7">
        <v>46186</v>
      </c>
      <c r="E1465" t="s">
        <v>212</v>
      </c>
      <c r="F1465" t="s">
        <v>202</v>
      </c>
      <c r="G1465">
        <v>90</v>
      </c>
      <c r="H1465" s="7">
        <v>46207</v>
      </c>
      <c r="I1465" t="s">
        <v>211</v>
      </c>
    </row>
    <row r="1466" spans="1:9">
      <c r="A1466">
        <v>51465</v>
      </c>
      <c r="B1466">
        <v>3120</v>
      </c>
      <c r="C1466">
        <v>2003</v>
      </c>
      <c r="D1466" s="7">
        <v>46201</v>
      </c>
      <c r="E1466" t="s">
        <v>208</v>
      </c>
      <c r="F1466" t="s">
        <v>202</v>
      </c>
      <c r="G1466">
        <v>20</v>
      </c>
      <c r="H1466" s="7"/>
      <c r="I1466" t="s">
        <v>203</v>
      </c>
    </row>
    <row r="1467" spans="1:9">
      <c r="A1467">
        <v>51466</v>
      </c>
      <c r="B1467">
        <v>3120</v>
      </c>
      <c r="C1467">
        <v>2003</v>
      </c>
      <c r="D1467" s="7">
        <v>46208</v>
      </c>
      <c r="E1467" t="s">
        <v>204</v>
      </c>
      <c r="F1467" t="s">
        <v>213</v>
      </c>
      <c r="H1467" s="7"/>
      <c r="I1467" t="s">
        <v>217</v>
      </c>
    </row>
    <row r="1468" spans="1:9">
      <c r="A1468">
        <v>51467</v>
      </c>
      <c r="B1468">
        <v>3120</v>
      </c>
      <c r="C1468">
        <v>2003</v>
      </c>
      <c r="D1468" s="7">
        <v>46214</v>
      </c>
      <c r="E1468" t="s">
        <v>204</v>
      </c>
      <c r="F1468" t="s">
        <v>202</v>
      </c>
      <c r="G1468">
        <v>30</v>
      </c>
      <c r="H1468" s="7"/>
      <c r="I1468" t="s">
        <v>217</v>
      </c>
    </row>
    <row r="1469" spans="1:9">
      <c r="A1469">
        <v>51468</v>
      </c>
      <c r="B1469">
        <v>3121</v>
      </c>
      <c r="C1469">
        <v>2012</v>
      </c>
      <c r="D1469" s="7">
        <v>45918</v>
      </c>
      <c r="E1469" t="s">
        <v>219</v>
      </c>
      <c r="F1469" t="s">
        <v>202</v>
      </c>
      <c r="G1469">
        <v>10</v>
      </c>
      <c r="H1469" s="7">
        <v>45939</v>
      </c>
      <c r="I1469" t="s">
        <v>217</v>
      </c>
    </row>
    <row r="1470" spans="1:9">
      <c r="A1470">
        <v>51469</v>
      </c>
      <c r="B1470">
        <v>3121</v>
      </c>
      <c r="C1470">
        <v>2012</v>
      </c>
      <c r="D1470" s="7">
        <v>45985</v>
      </c>
      <c r="E1470" t="s">
        <v>219</v>
      </c>
      <c r="F1470" t="s">
        <v>202</v>
      </c>
      <c r="G1470">
        <v>15</v>
      </c>
      <c r="H1470" s="7">
        <v>46015</v>
      </c>
      <c r="I1470" t="s">
        <v>209</v>
      </c>
    </row>
    <row r="1471" spans="1:9">
      <c r="A1471">
        <v>51470</v>
      </c>
      <c r="B1471">
        <v>3121</v>
      </c>
      <c r="C1471">
        <v>2012</v>
      </c>
      <c r="D1471" s="7">
        <v>46018</v>
      </c>
      <c r="E1471" t="s">
        <v>212</v>
      </c>
      <c r="F1471" t="s">
        <v>214</v>
      </c>
      <c r="H1471" s="7">
        <v>46021</v>
      </c>
      <c r="I1471" t="s">
        <v>206</v>
      </c>
    </row>
    <row r="1472" spans="1:9">
      <c r="A1472">
        <v>51471</v>
      </c>
      <c r="B1472">
        <v>3121</v>
      </c>
      <c r="C1472">
        <v>2012</v>
      </c>
      <c r="D1472" s="7">
        <v>46120</v>
      </c>
      <c r="E1472" t="s">
        <v>201</v>
      </c>
      <c r="F1472" t="s">
        <v>202</v>
      </c>
      <c r="G1472">
        <v>45</v>
      </c>
      <c r="H1472" s="7">
        <v>46141</v>
      </c>
      <c r="I1472" t="s">
        <v>206</v>
      </c>
    </row>
    <row r="1473" spans="1:9">
      <c r="A1473">
        <v>51472</v>
      </c>
      <c r="B1473">
        <v>3121</v>
      </c>
      <c r="C1473">
        <v>2012</v>
      </c>
      <c r="D1473" s="7">
        <v>46144</v>
      </c>
      <c r="E1473" t="s">
        <v>212</v>
      </c>
      <c r="F1473" t="s">
        <v>202</v>
      </c>
      <c r="G1473">
        <v>10</v>
      </c>
      <c r="H1473" s="7">
        <v>46151</v>
      </c>
      <c r="I1473" t="s">
        <v>203</v>
      </c>
    </row>
    <row r="1474" spans="1:9">
      <c r="A1474">
        <v>51473</v>
      </c>
      <c r="B1474">
        <v>3121</v>
      </c>
      <c r="C1474">
        <v>2012</v>
      </c>
      <c r="D1474" s="7">
        <v>46173</v>
      </c>
      <c r="E1474" t="s">
        <v>204</v>
      </c>
      <c r="F1474" t="s">
        <v>202</v>
      </c>
      <c r="G1474">
        <v>30</v>
      </c>
      <c r="H1474" s="7">
        <v>46203</v>
      </c>
      <c r="I1474" t="s">
        <v>209</v>
      </c>
    </row>
    <row r="1475" spans="1:9">
      <c r="A1475">
        <v>51474</v>
      </c>
      <c r="B1475">
        <v>3122</v>
      </c>
      <c r="C1475">
        <v>2005</v>
      </c>
      <c r="D1475" s="7">
        <v>45235</v>
      </c>
      <c r="E1475" t="s">
        <v>204</v>
      </c>
      <c r="F1475" t="s">
        <v>205</v>
      </c>
      <c r="H1475" s="7"/>
      <c r="I1475" t="s">
        <v>209</v>
      </c>
    </row>
    <row r="1476" spans="1:9">
      <c r="A1476">
        <v>51475</v>
      </c>
      <c r="B1476">
        <v>3122</v>
      </c>
      <c r="C1476">
        <v>2005</v>
      </c>
      <c r="D1476" s="7">
        <v>45257</v>
      </c>
      <c r="E1476" t="s">
        <v>208</v>
      </c>
      <c r="F1476" t="s">
        <v>218</v>
      </c>
      <c r="H1476" s="7"/>
      <c r="I1476" t="s">
        <v>216</v>
      </c>
    </row>
    <row r="1477" spans="1:9">
      <c r="A1477">
        <v>51476</v>
      </c>
      <c r="B1477">
        <v>3122</v>
      </c>
      <c r="C1477">
        <v>2005</v>
      </c>
      <c r="D1477" s="7">
        <v>45267</v>
      </c>
      <c r="E1477" t="s">
        <v>201</v>
      </c>
      <c r="F1477" t="s">
        <v>202</v>
      </c>
      <c r="G1477">
        <v>90</v>
      </c>
      <c r="H1477" s="7">
        <v>45281</v>
      </c>
      <c r="I1477" t="s">
        <v>216</v>
      </c>
    </row>
    <row r="1478" spans="1:9">
      <c r="A1478">
        <v>51477</v>
      </c>
      <c r="B1478">
        <v>3122</v>
      </c>
      <c r="C1478">
        <v>2005</v>
      </c>
      <c r="D1478" s="7">
        <v>45309</v>
      </c>
      <c r="E1478" t="s">
        <v>212</v>
      </c>
      <c r="F1478" t="s">
        <v>202</v>
      </c>
      <c r="G1478">
        <v>30</v>
      </c>
      <c r="H1478" s="7">
        <v>45323</v>
      </c>
      <c r="I1478" t="s">
        <v>207</v>
      </c>
    </row>
    <row r="1479" spans="1:9">
      <c r="A1479">
        <v>51478</v>
      </c>
      <c r="B1479">
        <v>3122</v>
      </c>
      <c r="C1479">
        <v>2005</v>
      </c>
      <c r="D1479" s="7">
        <v>45424</v>
      </c>
      <c r="E1479" t="s">
        <v>212</v>
      </c>
      <c r="F1479" t="s">
        <v>215</v>
      </c>
      <c r="G1479">
        <v>15</v>
      </c>
      <c r="H1479" s="7">
        <v>45454</v>
      </c>
      <c r="I1479" t="s">
        <v>216</v>
      </c>
    </row>
    <row r="1480" spans="1:9">
      <c r="A1480">
        <v>51479</v>
      </c>
      <c r="B1480">
        <v>3122</v>
      </c>
      <c r="C1480">
        <v>2005</v>
      </c>
      <c r="D1480" s="7">
        <v>45536</v>
      </c>
      <c r="E1480" t="s">
        <v>219</v>
      </c>
      <c r="F1480" t="s">
        <v>215</v>
      </c>
      <c r="G1480">
        <v>45</v>
      </c>
      <c r="H1480" s="7">
        <v>45550</v>
      </c>
      <c r="I1480" t="s">
        <v>211</v>
      </c>
    </row>
    <row r="1481" spans="1:9">
      <c r="A1481">
        <v>51480</v>
      </c>
      <c r="B1481">
        <v>3122</v>
      </c>
      <c r="C1481">
        <v>2005</v>
      </c>
      <c r="D1481" s="7">
        <v>45656</v>
      </c>
      <c r="E1481" t="s">
        <v>204</v>
      </c>
      <c r="F1481" t="s">
        <v>214</v>
      </c>
      <c r="H1481" s="7">
        <v>45686</v>
      </c>
      <c r="I1481" t="s">
        <v>206</v>
      </c>
    </row>
    <row r="1482" spans="1:9">
      <c r="A1482">
        <v>51481</v>
      </c>
      <c r="B1482">
        <v>3122</v>
      </c>
      <c r="C1482">
        <v>2005</v>
      </c>
      <c r="D1482" s="7">
        <v>45904</v>
      </c>
      <c r="E1482" t="s">
        <v>210</v>
      </c>
      <c r="F1482" t="s">
        <v>202</v>
      </c>
      <c r="G1482">
        <v>30</v>
      </c>
      <c r="H1482" s="7">
        <v>45925</v>
      </c>
      <c r="I1482" t="s">
        <v>209</v>
      </c>
    </row>
    <row r="1483" spans="1:9">
      <c r="A1483">
        <v>51482</v>
      </c>
      <c r="B1483">
        <v>3122</v>
      </c>
      <c r="C1483">
        <v>2005</v>
      </c>
      <c r="D1483" s="7">
        <v>45926</v>
      </c>
      <c r="E1483" t="s">
        <v>212</v>
      </c>
      <c r="F1483" t="s">
        <v>202</v>
      </c>
      <c r="G1483">
        <v>60</v>
      </c>
      <c r="H1483" s="7">
        <v>45933</v>
      </c>
      <c r="I1483" t="s">
        <v>206</v>
      </c>
    </row>
    <row r="1484" spans="1:9">
      <c r="A1484">
        <v>51483</v>
      </c>
      <c r="B1484">
        <v>3122</v>
      </c>
      <c r="C1484">
        <v>2005</v>
      </c>
      <c r="D1484" s="7">
        <v>46050</v>
      </c>
      <c r="E1484" t="s">
        <v>201</v>
      </c>
      <c r="F1484" t="s">
        <v>202</v>
      </c>
      <c r="G1484">
        <v>90</v>
      </c>
      <c r="H1484" s="7">
        <v>46064</v>
      </c>
      <c r="I1484" t="s">
        <v>207</v>
      </c>
    </row>
    <row r="1485" spans="1:9">
      <c r="A1485">
        <v>51484</v>
      </c>
      <c r="B1485">
        <v>3122</v>
      </c>
      <c r="C1485">
        <v>2005</v>
      </c>
      <c r="D1485" s="7">
        <v>46173</v>
      </c>
      <c r="E1485" t="s">
        <v>201</v>
      </c>
      <c r="F1485" t="s">
        <v>215</v>
      </c>
      <c r="G1485">
        <v>15</v>
      </c>
      <c r="H1485" s="7">
        <v>46187</v>
      </c>
      <c r="I1485" t="s">
        <v>207</v>
      </c>
    </row>
    <row r="1486" spans="1:9">
      <c r="A1486">
        <v>51485</v>
      </c>
      <c r="B1486">
        <v>3123</v>
      </c>
      <c r="C1486">
        <v>2012</v>
      </c>
      <c r="D1486" s="7">
        <v>46135</v>
      </c>
      <c r="E1486" t="s">
        <v>210</v>
      </c>
      <c r="F1486" t="s">
        <v>213</v>
      </c>
      <c r="H1486" s="7">
        <v>46149</v>
      </c>
      <c r="I1486" t="s">
        <v>209</v>
      </c>
    </row>
    <row r="1487" spans="1:9">
      <c r="A1487">
        <v>51486</v>
      </c>
      <c r="B1487">
        <v>3123</v>
      </c>
      <c r="C1487">
        <v>2012</v>
      </c>
      <c r="D1487" s="7">
        <v>46135</v>
      </c>
      <c r="E1487" t="s">
        <v>204</v>
      </c>
      <c r="F1487" t="s">
        <v>213</v>
      </c>
      <c r="H1487" s="7">
        <v>46138</v>
      </c>
      <c r="I1487" t="s">
        <v>217</v>
      </c>
    </row>
    <row r="1488" spans="1:9">
      <c r="A1488">
        <v>51487</v>
      </c>
      <c r="B1488">
        <v>3123</v>
      </c>
      <c r="C1488">
        <v>2012</v>
      </c>
      <c r="D1488" s="7">
        <v>46137</v>
      </c>
      <c r="E1488" t="s">
        <v>210</v>
      </c>
      <c r="F1488" t="s">
        <v>214</v>
      </c>
      <c r="H1488" s="7">
        <v>46167</v>
      </c>
      <c r="I1488" t="s">
        <v>216</v>
      </c>
    </row>
    <row r="1489" spans="1:9">
      <c r="A1489">
        <v>51488</v>
      </c>
      <c r="B1489">
        <v>3123</v>
      </c>
      <c r="C1489">
        <v>2012</v>
      </c>
      <c r="D1489" s="7">
        <v>46142</v>
      </c>
      <c r="E1489" t="s">
        <v>219</v>
      </c>
      <c r="F1489" t="s">
        <v>214</v>
      </c>
      <c r="H1489" s="7">
        <v>46172</v>
      </c>
      <c r="I1489" t="s">
        <v>206</v>
      </c>
    </row>
    <row r="1490" spans="1:9">
      <c r="A1490">
        <v>51489</v>
      </c>
      <c r="B1490">
        <v>3123</v>
      </c>
      <c r="C1490">
        <v>2012</v>
      </c>
      <c r="D1490" s="7">
        <v>46143</v>
      </c>
      <c r="E1490" t="s">
        <v>201</v>
      </c>
      <c r="F1490" t="s">
        <v>202</v>
      </c>
      <c r="G1490">
        <v>30</v>
      </c>
      <c r="H1490" s="7">
        <v>46164</v>
      </c>
      <c r="I1490" t="s">
        <v>206</v>
      </c>
    </row>
    <row r="1491" spans="1:9">
      <c r="A1491">
        <v>51490</v>
      </c>
      <c r="B1491">
        <v>3123</v>
      </c>
      <c r="C1491">
        <v>2012</v>
      </c>
      <c r="D1491" s="7">
        <v>46144</v>
      </c>
      <c r="E1491" t="s">
        <v>219</v>
      </c>
      <c r="F1491" t="s">
        <v>215</v>
      </c>
      <c r="G1491">
        <v>10</v>
      </c>
      <c r="H1491" s="7">
        <v>46158</v>
      </c>
      <c r="I1491" t="s">
        <v>203</v>
      </c>
    </row>
    <row r="1492" spans="1:9">
      <c r="A1492">
        <v>51491</v>
      </c>
      <c r="B1492">
        <v>3123</v>
      </c>
      <c r="C1492">
        <v>2012</v>
      </c>
      <c r="D1492" s="7">
        <v>46148</v>
      </c>
      <c r="E1492" t="s">
        <v>219</v>
      </c>
      <c r="F1492" t="s">
        <v>214</v>
      </c>
      <c r="H1492" s="7">
        <v>46151</v>
      </c>
      <c r="I1492" t="s">
        <v>216</v>
      </c>
    </row>
    <row r="1493" spans="1:9">
      <c r="A1493">
        <v>51492</v>
      </c>
      <c r="B1493">
        <v>3123</v>
      </c>
      <c r="C1493">
        <v>2012</v>
      </c>
      <c r="D1493" s="7">
        <v>46150</v>
      </c>
      <c r="E1493" t="s">
        <v>219</v>
      </c>
      <c r="F1493" t="s">
        <v>202</v>
      </c>
      <c r="G1493">
        <v>60</v>
      </c>
      <c r="H1493" s="7">
        <v>46171</v>
      </c>
      <c r="I1493" t="s">
        <v>206</v>
      </c>
    </row>
    <row r="1494" spans="1:9">
      <c r="A1494">
        <v>51493</v>
      </c>
      <c r="B1494">
        <v>3123</v>
      </c>
      <c r="C1494">
        <v>2012</v>
      </c>
      <c r="D1494" s="7">
        <v>46153</v>
      </c>
      <c r="E1494" t="s">
        <v>210</v>
      </c>
      <c r="F1494" t="s">
        <v>213</v>
      </c>
      <c r="H1494" s="7">
        <v>46160</v>
      </c>
      <c r="I1494" t="s">
        <v>206</v>
      </c>
    </row>
    <row r="1495" spans="1:9">
      <c r="A1495">
        <v>51494</v>
      </c>
      <c r="B1495">
        <v>3123</v>
      </c>
      <c r="C1495">
        <v>2012</v>
      </c>
      <c r="D1495" s="7">
        <v>46162</v>
      </c>
      <c r="E1495" t="s">
        <v>204</v>
      </c>
      <c r="F1495" t="s">
        <v>202</v>
      </c>
      <c r="G1495">
        <v>90</v>
      </c>
      <c r="H1495" s="7">
        <v>46169</v>
      </c>
      <c r="I1495" t="s">
        <v>211</v>
      </c>
    </row>
    <row r="1496" spans="1:9">
      <c r="A1496">
        <v>51495</v>
      </c>
      <c r="B1496">
        <v>3123</v>
      </c>
      <c r="C1496">
        <v>2012</v>
      </c>
      <c r="D1496" s="7">
        <v>46164</v>
      </c>
      <c r="E1496" t="s">
        <v>204</v>
      </c>
      <c r="F1496" t="s">
        <v>202</v>
      </c>
      <c r="G1496">
        <v>45</v>
      </c>
      <c r="H1496" s="7">
        <v>46194</v>
      </c>
      <c r="I1496" t="s">
        <v>211</v>
      </c>
    </row>
    <row r="1497" spans="1:9">
      <c r="A1497">
        <v>51496</v>
      </c>
      <c r="B1497">
        <v>3123</v>
      </c>
      <c r="C1497">
        <v>2012</v>
      </c>
      <c r="D1497" s="7">
        <v>46171</v>
      </c>
      <c r="E1497" t="s">
        <v>212</v>
      </c>
      <c r="F1497" t="s">
        <v>202</v>
      </c>
      <c r="G1497">
        <v>90</v>
      </c>
      <c r="H1497" s="7">
        <v>46174</v>
      </c>
      <c r="I1497" t="s">
        <v>211</v>
      </c>
    </row>
    <row r="1498" spans="1:9">
      <c r="A1498">
        <v>51497</v>
      </c>
      <c r="B1498">
        <v>3123</v>
      </c>
      <c r="C1498">
        <v>2012</v>
      </c>
      <c r="D1498" s="7">
        <v>46175</v>
      </c>
      <c r="E1498" t="s">
        <v>201</v>
      </c>
      <c r="F1498" t="s">
        <v>202</v>
      </c>
      <c r="G1498">
        <v>45</v>
      </c>
      <c r="H1498" s="7">
        <v>46196</v>
      </c>
      <c r="I1498" t="s">
        <v>203</v>
      </c>
    </row>
    <row r="1499" spans="1:9">
      <c r="A1499">
        <v>51498</v>
      </c>
      <c r="B1499">
        <v>3123</v>
      </c>
      <c r="C1499">
        <v>2012</v>
      </c>
      <c r="D1499" s="7">
        <v>46183</v>
      </c>
      <c r="E1499" t="s">
        <v>212</v>
      </c>
      <c r="F1499" t="s">
        <v>202</v>
      </c>
      <c r="G1499">
        <v>20</v>
      </c>
      <c r="H1499" s="7">
        <v>46213</v>
      </c>
      <c r="I1499" t="s">
        <v>206</v>
      </c>
    </row>
    <row r="1500" spans="1:9">
      <c r="A1500">
        <v>51499</v>
      </c>
      <c r="B1500">
        <v>3123</v>
      </c>
      <c r="C1500">
        <v>2012</v>
      </c>
      <c r="D1500" s="7">
        <v>46184</v>
      </c>
      <c r="E1500" t="s">
        <v>212</v>
      </c>
      <c r="F1500" t="s">
        <v>202</v>
      </c>
      <c r="G1500">
        <v>20</v>
      </c>
      <c r="H1500" s="7">
        <v>46214</v>
      </c>
      <c r="I1500" t="s">
        <v>206</v>
      </c>
    </row>
    <row r="1501" spans="1:9">
      <c r="A1501">
        <v>51500</v>
      </c>
      <c r="B1501">
        <v>3123</v>
      </c>
      <c r="C1501">
        <v>2012</v>
      </c>
      <c r="D1501" s="7">
        <v>46186</v>
      </c>
      <c r="E1501" t="s">
        <v>204</v>
      </c>
      <c r="F1501" t="s">
        <v>214</v>
      </c>
      <c r="H1501" s="7">
        <v>46193</v>
      </c>
      <c r="I1501" t="s">
        <v>216</v>
      </c>
    </row>
    <row r="1502" spans="1:9">
      <c r="A1502">
        <v>51501</v>
      </c>
      <c r="B1502">
        <v>3123</v>
      </c>
      <c r="C1502">
        <v>2012</v>
      </c>
      <c r="D1502" s="7">
        <v>46189</v>
      </c>
      <c r="E1502" t="s">
        <v>210</v>
      </c>
      <c r="F1502" t="s">
        <v>218</v>
      </c>
      <c r="H1502" s="7"/>
      <c r="I1502" t="s">
        <v>211</v>
      </c>
    </row>
    <row r="1503" spans="1:9">
      <c r="A1503">
        <v>51502</v>
      </c>
      <c r="B1503">
        <v>3123</v>
      </c>
      <c r="C1503">
        <v>2012</v>
      </c>
      <c r="D1503" s="7">
        <v>46195</v>
      </c>
      <c r="E1503" t="s">
        <v>219</v>
      </c>
      <c r="F1503" t="s">
        <v>202</v>
      </c>
      <c r="G1503">
        <v>90</v>
      </c>
      <c r="H1503" s="7">
        <v>46198</v>
      </c>
      <c r="I1503" t="s">
        <v>216</v>
      </c>
    </row>
    <row r="1504" spans="1:9">
      <c r="A1504">
        <v>51503</v>
      </c>
      <c r="B1504">
        <v>3123</v>
      </c>
      <c r="C1504">
        <v>2012</v>
      </c>
      <c r="D1504" s="7">
        <v>46204</v>
      </c>
      <c r="E1504" t="s">
        <v>201</v>
      </c>
      <c r="F1504" t="s">
        <v>202</v>
      </c>
      <c r="G1504">
        <v>45</v>
      </c>
      <c r="H1504" s="7">
        <v>46211</v>
      </c>
      <c r="I1504" t="s">
        <v>206</v>
      </c>
    </row>
    <row r="1505" spans="1:9">
      <c r="A1505">
        <v>51504</v>
      </c>
      <c r="B1505">
        <v>3123</v>
      </c>
      <c r="C1505">
        <v>2012</v>
      </c>
      <c r="D1505" s="7">
        <v>46206</v>
      </c>
      <c r="E1505" t="s">
        <v>219</v>
      </c>
      <c r="F1505" t="s">
        <v>205</v>
      </c>
      <c r="H1505" s="7"/>
      <c r="I1505" t="s">
        <v>203</v>
      </c>
    </row>
    <row r="1506" spans="1:9">
      <c r="A1506">
        <v>51505</v>
      </c>
      <c r="B1506">
        <v>3124</v>
      </c>
      <c r="C1506">
        <v>2015</v>
      </c>
      <c r="D1506" s="7">
        <v>45448</v>
      </c>
      <c r="E1506" t="s">
        <v>210</v>
      </c>
      <c r="F1506" t="s">
        <v>213</v>
      </c>
      <c r="H1506" s="7">
        <v>45451</v>
      </c>
      <c r="I1506" t="s">
        <v>217</v>
      </c>
    </row>
    <row r="1507" spans="1:9">
      <c r="A1507">
        <v>51506</v>
      </c>
      <c r="B1507">
        <v>3124</v>
      </c>
      <c r="C1507">
        <v>2015</v>
      </c>
      <c r="D1507" s="7">
        <v>45654</v>
      </c>
      <c r="E1507" t="s">
        <v>210</v>
      </c>
      <c r="F1507" t="s">
        <v>205</v>
      </c>
      <c r="H1507" s="7"/>
      <c r="I1507" t="s">
        <v>207</v>
      </c>
    </row>
    <row r="1508" spans="1:9">
      <c r="A1508">
        <v>51507</v>
      </c>
      <c r="B1508">
        <v>3124</v>
      </c>
      <c r="C1508">
        <v>2015</v>
      </c>
      <c r="D1508" s="7">
        <v>45666</v>
      </c>
      <c r="E1508" t="s">
        <v>201</v>
      </c>
      <c r="F1508" t="s">
        <v>218</v>
      </c>
      <c r="H1508" s="7"/>
      <c r="I1508" t="s">
        <v>217</v>
      </c>
    </row>
    <row r="1509" spans="1:9">
      <c r="A1509">
        <v>51508</v>
      </c>
      <c r="B1509">
        <v>3124</v>
      </c>
      <c r="C1509">
        <v>2015</v>
      </c>
      <c r="D1509" s="7">
        <v>45804</v>
      </c>
      <c r="E1509" t="s">
        <v>212</v>
      </c>
      <c r="F1509" t="s">
        <v>202</v>
      </c>
      <c r="G1509">
        <v>60</v>
      </c>
      <c r="H1509" s="7">
        <v>45811</v>
      </c>
      <c r="I1509" t="s">
        <v>206</v>
      </c>
    </row>
    <row r="1510" spans="1:9">
      <c r="A1510">
        <v>51509</v>
      </c>
      <c r="B1510">
        <v>3124</v>
      </c>
      <c r="C1510">
        <v>2015</v>
      </c>
      <c r="D1510" s="7">
        <v>45894</v>
      </c>
      <c r="E1510" t="s">
        <v>212</v>
      </c>
      <c r="F1510" t="s">
        <v>214</v>
      </c>
      <c r="H1510" s="7">
        <v>45901</v>
      </c>
      <c r="I1510" t="s">
        <v>207</v>
      </c>
    </row>
    <row r="1511" spans="1:9">
      <c r="A1511">
        <v>51510</v>
      </c>
      <c r="B1511">
        <v>3124</v>
      </c>
      <c r="C1511">
        <v>2015</v>
      </c>
      <c r="D1511" s="7">
        <v>46040</v>
      </c>
      <c r="E1511" t="s">
        <v>204</v>
      </c>
      <c r="F1511" t="s">
        <v>205</v>
      </c>
      <c r="H1511" s="7"/>
      <c r="I1511" t="s">
        <v>211</v>
      </c>
    </row>
    <row r="1512" spans="1:9">
      <c r="A1512">
        <v>51511</v>
      </c>
      <c r="B1512">
        <v>3124</v>
      </c>
      <c r="C1512">
        <v>2015</v>
      </c>
      <c r="D1512" s="7">
        <v>46147</v>
      </c>
      <c r="E1512" t="s">
        <v>204</v>
      </c>
      <c r="F1512" t="s">
        <v>202</v>
      </c>
      <c r="G1512">
        <v>15</v>
      </c>
      <c r="H1512" s="7">
        <v>46161</v>
      </c>
      <c r="I1512" t="s">
        <v>207</v>
      </c>
    </row>
    <row r="1513" spans="1:9">
      <c r="A1513">
        <v>51512</v>
      </c>
      <c r="B1513">
        <v>3124</v>
      </c>
      <c r="C1513">
        <v>2015</v>
      </c>
      <c r="D1513" s="7">
        <v>46209</v>
      </c>
      <c r="E1513" t="s">
        <v>210</v>
      </c>
      <c r="F1513" t="s">
        <v>214</v>
      </c>
      <c r="H1513" s="7"/>
      <c r="I1513" t="s">
        <v>216</v>
      </c>
    </row>
    <row r="1514" spans="1:9">
      <c r="A1514">
        <v>51513</v>
      </c>
      <c r="B1514">
        <v>3125</v>
      </c>
      <c r="C1514">
        <v>2002</v>
      </c>
      <c r="D1514" s="7">
        <v>45272</v>
      </c>
      <c r="E1514" t="s">
        <v>210</v>
      </c>
      <c r="F1514" t="s">
        <v>213</v>
      </c>
      <c r="H1514" s="7">
        <v>45293</v>
      </c>
      <c r="I1514" t="s">
        <v>217</v>
      </c>
    </row>
    <row r="1515" spans="1:9">
      <c r="A1515">
        <v>51514</v>
      </c>
      <c r="B1515">
        <v>3125</v>
      </c>
      <c r="C1515">
        <v>2002</v>
      </c>
      <c r="D1515" s="7">
        <v>45278</v>
      </c>
      <c r="E1515" t="s">
        <v>212</v>
      </c>
      <c r="F1515" t="s">
        <v>214</v>
      </c>
      <c r="H1515" s="7">
        <v>45281</v>
      </c>
      <c r="I1515" t="s">
        <v>217</v>
      </c>
    </row>
    <row r="1516" spans="1:9">
      <c r="A1516">
        <v>51515</v>
      </c>
      <c r="B1516">
        <v>3125</v>
      </c>
      <c r="C1516">
        <v>2002</v>
      </c>
      <c r="D1516" s="7">
        <v>45326</v>
      </c>
      <c r="E1516" t="s">
        <v>208</v>
      </c>
      <c r="F1516" t="s">
        <v>202</v>
      </c>
      <c r="G1516">
        <v>10</v>
      </c>
      <c r="H1516" s="7">
        <v>45333</v>
      </c>
      <c r="I1516" t="s">
        <v>216</v>
      </c>
    </row>
    <row r="1517" spans="1:9">
      <c r="A1517">
        <v>51516</v>
      </c>
      <c r="B1517">
        <v>3125</v>
      </c>
      <c r="C1517">
        <v>2002</v>
      </c>
      <c r="D1517" s="7">
        <v>45381</v>
      </c>
      <c r="E1517" t="s">
        <v>204</v>
      </c>
      <c r="F1517" t="s">
        <v>202</v>
      </c>
      <c r="G1517">
        <v>60</v>
      </c>
      <c r="H1517" s="7">
        <v>45384</v>
      </c>
      <c r="I1517" t="s">
        <v>207</v>
      </c>
    </row>
    <row r="1518" spans="1:9">
      <c r="A1518">
        <v>51517</v>
      </c>
      <c r="B1518">
        <v>3125</v>
      </c>
      <c r="C1518">
        <v>2002</v>
      </c>
      <c r="D1518" s="7">
        <v>45471</v>
      </c>
      <c r="E1518" t="s">
        <v>212</v>
      </c>
      <c r="F1518" t="s">
        <v>202</v>
      </c>
      <c r="G1518">
        <v>30</v>
      </c>
      <c r="H1518" s="7">
        <v>45501</v>
      </c>
      <c r="I1518" t="s">
        <v>207</v>
      </c>
    </row>
    <row r="1519" spans="1:9">
      <c r="A1519">
        <v>51518</v>
      </c>
      <c r="B1519">
        <v>3125</v>
      </c>
      <c r="C1519">
        <v>2002</v>
      </c>
      <c r="D1519" s="7">
        <v>45525</v>
      </c>
      <c r="E1519" t="s">
        <v>204</v>
      </c>
      <c r="F1519" t="s">
        <v>202</v>
      </c>
      <c r="G1519">
        <v>15</v>
      </c>
      <c r="H1519" s="7">
        <v>45528</v>
      </c>
      <c r="I1519" t="s">
        <v>211</v>
      </c>
    </row>
    <row r="1520" spans="1:9">
      <c r="A1520">
        <v>51519</v>
      </c>
      <c r="B1520">
        <v>3125</v>
      </c>
      <c r="C1520">
        <v>2002</v>
      </c>
      <c r="D1520" s="7">
        <v>45566</v>
      </c>
      <c r="E1520" t="s">
        <v>204</v>
      </c>
      <c r="F1520" t="s">
        <v>205</v>
      </c>
      <c r="H1520" s="7"/>
      <c r="I1520" t="s">
        <v>206</v>
      </c>
    </row>
    <row r="1521" spans="1:9">
      <c r="A1521">
        <v>51520</v>
      </c>
      <c r="B1521">
        <v>3125</v>
      </c>
      <c r="C1521">
        <v>2002</v>
      </c>
      <c r="D1521" s="7">
        <v>45577</v>
      </c>
      <c r="E1521" t="s">
        <v>201</v>
      </c>
      <c r="F1521" t="s">
        <v>202</v>
      </c>
      <c r="G1521">
        <v>15</v>
      </c>
      <c r="H1521" s="7">
        <v>45584</v>
      </c>
      <c r="I1521" t="s">
        <v>209</v>
      </c>
    </row>
    <row r="1522" spans="1:9">
      <c r="A1522">
        <v>51521</v>
      </c>
      <c r="B1522">
        <v>3125</v>
      </c>
      <c r="C1522">
        <v>2002</v>
      </c>
      <c r="D1522" s="7">
        <v>45611</v>
      </c>
      <c r="E1522" t="s">
        <v>212</v>
      </c>
      <c r="F1522" t="s">
        <v>202</v>
      </c>
      <c r="G1522">
        <v>60</v>
      </c>
      <c r="H1522" s="7">
        <v>45632</v>
      </c>
      <c r="I1522" t="s">
        <v>207</v>
      </c>
    </row>
    <row r="1523" spans="1:9">
      <c r="A1523">
        <v>51522</v>
      </c>
      <c r="B1523">
        <v>3125</v>
      </c>
      <c r="C1523">
        <v>2002</v>
      </c>
      <c r="D1523" s="7">
        <v>45634</v>
      </c>
      <c r="E1523" t="s">
        <v>210</v>
      </c>
      <c r="F1523" t="s">
        <v>218</v>
      </c>
      <c r="H1523" s="7"/>
      <c r="I1523" t="s">
        <v>217</v>
      </c>
    </row>
    <row r="1524" spans="1:9">
      <c r="A1524">
        <v>51523</v>
      </c>
      <c r="B1524">
        <v>3125</v>
      </c>
      <c r="C1524">
        <v>2002</v>
      </c>
      <c r="D1524" s="7">
        <v>45668</v>
      </c>
      <c r="E1524" t="s">
        <v>212</v>
      </c>
      <c r="F1524" t="s">
        <v>202</v>
      </c>
      <c r="G1524">
        <v>45</v>
      </c>
      <c r="H1524" s="7">
        <v>45689</v>
      </c>
      <c r="I1524" t="s">
        <v>211</v>
      </c>
    </row>
    <row r="1525" spans="1:9">
      <c r="A1525">
        <v>51524</v>
      </c>
      <c r="B1525">
        <v>3125</v>
      </c>
      <c r="C1525">
        <v>2002</v>
      </c>
      <c r="D1525" s="7">
        <v>45730</v>
      </c>
      <c r="E1525" t="s">
        <v>208</v>
      </c>
      <c r="F1525" t="s">
        <v>202</v>
      </c>
      <c r="G1525">
        <v>45</v>
      </c>
      <c r="H1525" s="7">
        <v>45737</v>
      </c>
      <c r="I1525" t="s">
        <v>209</v>
      </c>
    </row>
    <row r="1526" spans="1:9">
      <c r="A1526">
        <v>51525</v>
      </c>
      <c r="B1526">
        <v>3125</v>
      </c>
      <c r="C1526">
        <v>2002</v>
      </c>
      <c r="D1526" s="7">
        <v>45784</v>
      </c>
      <c r="E1526" t="s">
        <v>212</v>
      </c>
      <c r="F1526" t="s">
        <v>213</v>
      </c>
      <c r="H1526" s="7">
        <v>45814</v>
      </c>
      <c r="I1526" t="s">
        <v>207</v>
      </c>
    </row>
    <row r="1527" spans="1:9">
      <c r="A1527">
        <v>51526</v>
      </c>
      <c r="B1527">
        <v>3125</v>
      </c>
      <c r="C1527">
        <v>2002</v>
      </c>
      <c r="D1527" s="7">
        <v>45838</v>
      </c>
      <c r="E1527" t="s">
        <v>201</v>
      </c>
      <c r="F1527" t="s">
        <v>202</v>
      </c>
      <c r="G1527">
        <v>10</v>
      </c>
      <c r="H1527" s="7">
        <v>45868</v>
      </c>
      <c r="I1527" t="s">
        <v>211</v>
      </c>
    </row>
    <row r="1528" spans="1:9">
      <c r="A1528">
        <v>51527</v>
      </c>
      <c r="B1528">
        <v>3125</v>
      </c>
      <c r="C1528">
        <v>2002</v>
      </c>
      <c r="D1528" s="7">
        <v>45848</v>
      </c>
      <c r="E1528" t="s">
        <v>201</v>
      </c>
      <c r="F1528" t="s">
        <v>202</v>
      </c>
      <c r="G1528">
        <v>15</v>
      </c>
      <c r="H1528" s="7">
        <v>45862</v>
      </c>
      <c r="I1528" t="s">
        <v>203</v>
      </c>
    </row>
    <row r="1529" spans="1:9">
      <c r="A1529">
        <v>51528</v>
      </c>
      <c r="B1529">
        <v>3125</v>
      </c>
      <c r="C1529">
        <v>2002</v>
      </c>
      <c r="D1529" s="7">
        <v>45959</v>
      </c>
      <c r="E1529" t="s">
        <v>204</v>
      </c>
      <c r="F1529" t="s">
        <v>213</v>
      </c>
      <c r="H1529" s="7">
        <v>45980</v>
      </c>
      <c r="I1529" t="s">
        <v>211</v>
      </c>
    </row>
    <row r="1530" spans="1:9">
      <c r="A1530">
        <v>51529</v>
      </c>
      <c r="B1530">
        <v>3125</v>
      </c>
      <c r="C1530">
        <v>2002</v>
      </c>
      <c r="D1530" s="7">
        <v>46041</v>
      </c>
      <c r="E1530" t="s">
        <v>204</v>
      </c>
      <c r="F1530" t="s">
        <v>202</v>
      </c>
      <c r="G1530">
        <v>20</v>
      </c>
      <c r="H1530" s="7">
        <v>46062</v>
      </c>
      <c r="I1530" t="s">
        <v>206</v>
      </c>
    </row>
    <row r="1531" spans="1:9">
      <c r="A1531">
        <v>51530</v>
      </c>
      <c r="B1531">
        <v>3125</v>
      </c>
      <c r="C1531">
        <v>2002</v>
      </c>
      <c r="D1531" s="7">
        <v>46097</v>
      </c>
      <c r="E1531" t="s">
        <v>204</v>
      </c>
      <c r="F1531" t="s">
        <v>214</v>
      </c>
      <c r="H1531" s="7">
        <v>46127</v>
      </c>
      <c r="I1531" t="s">
        <v>209</v>
      </c>
    </row>
    <row r="1532" spans="1:9">
      <c r="A1532">
        <v>51531</v>
      </c>
      <c r="B1532">
        <v>3125</v>
      </c>
      <c r="C1532">
        <v>2002</v>
      </c>
      <c r="D1532" s="7">
        <v>46193</v>
      </c>
      <c r="E1532" t="s">
        <v>212</v>
      </c>
      <c r="F1532" t="s">
        <v>214</v>
      </c>
      <c r="H1532" s="7"/>
      <c r="I1532" t="s">
        <v>216</v>
      </c>
    </row>
    <row r="1533" spans="1:9">
      <c r="A1533">
        <v>51532</v>
      </c>
      <c r="B1533">
        <v>3125</v>
      </c>
      <c r="C1533">
        <v>2002</v>
      </c>
      <c r="D1533" s="7">
        <v>46212</v>
      </c>
      <c r="E1533" t="s">
        <v>204</v>
      </c>
      <c r="F1533" t="s">
        <v>202</v>
      </c>
      <c r="G1533">
        <v>10</v>
      </c>
      <c r="H1533" s="7"/>
      <c r="I1533" t="s">
        <v>206</v>
      </c>
    </row>
    <row r="1534" spans="1:9">
      <c r="A1534">
        <v>51533</v>
      </c>
      <c r="B1534">
        <v>3126</v>
      </c>
      <c r="C1534">
        <v>2008</v>
      </c>
      <c r="D1534" s="7">
        <v>45939</v>
      </c>
      <c r="E1534" t="s">
        <v>201</v>
      </c>
      <c r="F1534" t="s">
        <v>202</v>
      </c>
      <c r="G1534">
        <v>10</v>
      </c>
      <c r="H1534" s="7">
        <v>45946</v>
      </c>
      <c r="I1534" t="s">
        <v>203</v>
      </c>
    </row>
    <row r="1535" spans="1:9">
      <c r="A1535">
        <v>51534</v>
      </c>
      <c r="B1535">
        <v>3126</v>
      </c>
      <c r="C1535">
        <v>2008</v>
      </c>
      <c r="D1535" s="7">
        <v>45984</v>
      </c>
      <c r="E1535" t="s">
        <v>208</v>
      </c>
      <c r="F1535" t="s">
        <v>202</v>
      </c>
      <c r="G1535">
        <v>10</v>
      </c>
      <c r="H1535" s="7">
        <v>45987</v>
      </c>
      <c r="I1535" t="s">
        <v>207</v>
      </c>
    </row>
    <row r="1536" spans="1:9">
      <c r="A1536">
        <v>51535</v>
      </c>
      <c r="B1536">
        <v>3126</v>
      </c>
      <c r="C1536">
        <v>2008</v>
      </c>
      <c r="D1536" s="7">
        <v>46023</v>
      </c>
      <c r="E1536" t="s">
        <v>204</v>
      </c>
      <c r="F1536" t="s">
        <v>202</v>
      </c>
      <c r="G1536">
        <v>45</v>
      </c>
      <c r="H1536" s="7">
        <v>46037</v>
      </c>
      <c r="I1536" t="s">
        <v>209</v>
      </c>
    </row>
    <row r="1537" spans="1:9">
      <c r="A1537">
        <v>51536</v>
      </c>
      <c r="B1537">
        <v>3126</v>
      </c>
      <c r="C1537">
        <v>2008</v>
      </c>
      <c r="D1537" s="7">
        <v>46037</v>
      </c>
      <c r="E1537" t="s">
        <v>210</v>
      </c>
      <c r="F1537" t="s">
        <v>214</v>
      </c>
      <c r="H1537" s="7">
        <v>46058</v>
      </c>
      <c r="I1537" t="s">
        <v>217</v>
      </c>
    </row>
    <row r="1538" spans="1:9">
      <c r="A1538">
        <v>51537</v>
      </c>
      <c r="B1538">
        <v>3126</v>
      </c>
      <c r="C1538">
        <v>2008</v>
      </c>
      <c r="D1538" s="7">
        <v>46102</v>
      </c>
      <c r="E1538" t="s">
        <v>201</v>
      </c>
      <c r="F1538" t="s">
        <v>205</v>
      </c>
      <c r="H1538" s="7"/>
      <c r="I1538" t="s">
        <v>206</v>
      </c>
    </row>
    <row r="1539" spans="1:9">
      <c r="A1539">
        <v>51538</v>
      </c>
      <c r="B1539">
        <v>3126</v>
      </c>
      <c r="C1539">
        <v>2008</v>
      </c>
      <c r="D1539" s="7">
        <v>46166</v>
      </c>
      <c r="E1539" t="s">
        <v>212</v>
      </c>
      <c r="F1539" t="s">
        <v>202</v>
      </c>
      <c r="G1539">
        <v>20</v>
      </c>
      <c r="H1539" s="7">
        <v>46169</v>
      </c>
      <c r="I1539" t="s">
        <v>217</v>
      </c>
    </row>
    <row r="1540" spans="1:9">
      <c r="A1540">
        <v>51539</v>
      </c>
      <c r="B1540">
        <v>3126</v>
      </c>
      <c r="C1540">
        <v>2008</v>
      </c>
      <c r="D1540" s="7">
        <v>46171</v>
      </c>
      <c r="E1540" t="s">
        <v>208</v>
      </c>
      <c r="F1540" t="s">
        <v>218</v>
      </c>
      <c r="H1540" s="7"/>
      <c r="I1540" t="s">
        <v>203</v>
      </c>
    </row>
    <row r="1541" spans="1:9">
      <c r="A1541">
        <v>51540</v>
      </c>
      <c r="B1541">
        <v>3126</v>
      </c>
      <c r="C1541">
        <v>2008</v>
      </c>
      <c r="D1541" s="7">
        <v>46196</v>
      </c>
      <c r="E1541" t="s">
        <v>212</v>
      </c>
      <c r="F1541" t="s">
        <v>214</v>
      </c>
      <c r="H1541" s="7"/>
      <c r="I1541" t="s">
        <v>211</v>
      </c>
    </row>
    <row r="1542" spans="1:9">
      <c r="A1542">
        <v>51541</v>
      </c>
      <c r="B1542">
        <v>3127</v>
      </c>
      <c r="C1542">
        <v>2014</v>
      </c>
      <c r="D1542" s="7">
        <v>45261</v>
      </c>
      <c r="E1542" t="s">
        <v>212</v>
      </c>
      <c r="F1542" t="s">
        <v>202</v>
      </c>
      <c r="G1542">
        <v>10</v>
      </c>
      <c r="H1542" s="7">
        <v>45264</v>
      </c>
      <c r="I1542" t="s">
        <v>206</v>
      </c>
    </row>
    <row r="1543" spans="1:9">
      <c r="A1543">
        <v>51542</v>
      </c>
      <c r="B1543">
        <v>3127</v>
      </c>
      <c r="C1543">
        <v>2014</v>
      </c>
      <c r="D1543" s="7">
        <v>45358</v>
      </c>
      <c r="E1543" t="s">
        <v>210</v>
      </c>
      <c r="F1543" t="s">
        <v>202</v>
      </c>
      <c r="G1543">
        <v>45</v>
      </c>
      <c r="H1543" s="7">
        <v>45365</v>
      </c>
      <c r="I1543" t="s">
        <v>211</v>
      </c>
    </row>
    <row r="1544" spans="1:9">
      <c r="A1544">
        <v>51543</v>
      </c>
      <c r="B1544">
        <v>3127</v>
      </c>
      <c r="C1544">
        <v>2014</v>
      </c>
      <c r="D1544" s="7">
        <v>45382</v>
      </c>
      <c r="E1544" t="s">
        <v>219</v>
      </c>
      <c r="F1544" t="s">
        <v>202</v>
      </c>
      <c r="G1544">
        <v>90</v>
      </c>
      <c r="H1544" s="7">
        <v>45385</v>
      </c>
      <c r="I1544" t="s">
        <v>211</v>
      </c>
    </row>
    <row r="1545" spans="1:9">
      <c r="A1545">
        <v>51544</v>
      </c>
      <c r="B1545">
        <v>3127</v>
      </c>
      <c r="C1545">
        <v>2014</v>
      </c>
      <c r="D1545" s="7">
        <v>45451</v>
      </c>
      <c r="E1545" t="s">
        <v>201</v>
      </c>
      <c r="F1545" t="s">
        <v>215</v>
      </c>
      <c r="G1545">
        <v>15</v>
      </c>
      <c r="H1545" s="7">
        <v>45481</v>
      </c>
      <c r="I1545" t="s">
        <v>207</v>
      </c>
    </row>
    <row r="1546" spans="1:9">
      <c r="A1546">
        <v>51545</v>
      </c>
      <c r="B1546">
        <v>3127</v>
      </c>
      <c r="C1546">
        <v>2014</v>
      </c>
      <c r="D1546" s="7">
        <v>45500</v>
      </c>
      <c r="E1546" t="s">
        <v>212</v>
      </c>
      <c r="F1546" t="s">
        <v>214</v>
      </c>
      <c r="H1546" s="7">
        <v>45507</v>
      </c>
      <c r="I1546" t="s">
        <v>203</v>
      </c>
    </row>
    <row r="1547" spans="1:9">
      <c r="A1547">
        <v>51546</v>
      </c>
      <c r="B1547">
        <v>3127</v>
      </c>
      <c r="C1547">
        <v>2014</v>
      </c>
      <c r="D1547" s="7">
        <v>45507</v>
      </c>
      <c r="E1547" t="s">
        <v>204</v>
      </c>
      <c r="F1547" t="s">
        <v>215</v>
      </c>
      <c r="G1547">
        <v>90</v>
      </c>
      <c r="H1547" s="7">
        <v>45521</v>
      </c>
      <c r="I1547" t="s">
        <v>217</v>
      </c>
    </row>
    <row r="1548" spans="1:9">
      <c r="A1548">
        <v>51547</v>
      </c>
      <c r="B1548">
        <v>3127</v>
      </c>
      <c r="C1548">
        <v>2014</v>
      </c>
      <c r="D1548" s="7">
        <v>45778</v>
      </c>
      <c r="E1548" t="s">
        <v>208</v>
      </c>
      <c r="F1548" t="s">
        <v>202</v>
      </c>
      <c r="G1548">
        <v>10</v>
      </c>
      <c r="H1548" s="7">
        <v>45799</v>
      </c>
      <c r="I1548" t="s">
        <v>206</v>
      </c>
    </row>
    <row r="1549" spans="1:9">
      <c r="A1549">
        <v>51548</v>
      </c>
      <c r="B1549">
        <v>3127</v>
      </c>
      <c r="C1549">
        <v>2014</v>
      </c>
      <c r="D1549" s="7">
        <v>45782</v>
      </c>
      <c r="E1549" t="s">
        <v>204</v>
      </c>
      <c r="F1549" t="s">
        <v>214</v>
      </c>
      <c r="H1549" s="7">
        <v>45803</v>
      </c>
      <c r="I1549" t="s">
        <v>216</v>
      </c>
    </row>
    <row r="1550" spans="1:9">
      <c r="A1550">
        <v>51549</v>
      </c>
      <c r="B1550">
        <v>3128</v>
      </c>
      <c r="C1550">
        <v>2018</v>
      </c>
      <c r="D1550" s="7">
        <v>45347</v>
      </c>
      <c r="E1550" t="s">
        <v>204</v>
      </c>
      <c r="F1550" t="s">
        <v>202</v>
      </c>
      <c r="G1550">
        <v>20</v>
      </c>
      <c r="H1550" s="7">
        <v>45350</v>
      </c>
      <c r="I1550" t="s">
        <v>207</v>
      </c>
    </row>
    <row r="1551" spans="1:9">
      <c r="A1551">
        <v>51550</v>
      </c>
      <c r="B1551">
        <v>3128</v>
      </c>
      <c r="C1551">
        <v>2018</v>
      </c>
      <c r="D1551" s="7">
        <v>45379</v>
      </c>
      <c r="E1551" t="s">
        <v>201</v>
      </c>
      <c r="F1551" t="s">
        <v>205</v>
      </c>
      <c r="H1551" s="7"/>
      <c r="I1551" t="s">
        <v>216</v>
      </c>
    </row>
    <row r="1552" spans="1:9">
      <c r="A1552">
        <v>51551</v>
      </c>
      <c r="B1552">
        <v>3128</v>
      </c>
      <c r="C1552">
        <v>2018</v>
      </c>
      <c r="D1552" s="7">
        <v>45528</v>
      </c>
      <c r="E1552" t="s">
        <v>208</v>
      </c>
      <c r="F1552" t="s">
        <v>202</v>
      </c>
      <c r="G1552">
        <v>60</v>
      </c>
      <c r="H1552" s="7">
        <v>45535</v>
      </c>
      <c r="I1552" t="s">
        <v>216</v>
      </c>
    </row>
    <row r="1553" spans="1:9">
      <c r="A1553">
        <v>51552</v>
      </c>
      <c r="B1553">
        <v>3128</v>
      </c>
      <c r="C1553">
        <v>2018</v>
      </c>
      <c r="D1553" s="7">
        <v>45625</v>
      </c>
      <c r="E1553" t="s">
        <v>208</v>
      </c>
      <c r="F1553" t="s">
        <v>213</v>
      </c>
      <c r="H1553" s="7">
        <v>45628</v>
      </c>
      <c r="I1553" t="s">
        <v>206</v>
      </c>
    </row>
    <row r="1554" spans="1:9">
      <c r="A1554">
        <v>51553</v>
      </c>
      <c r="B1554">
        <v>3128</v>
      </c>
      <c r="C1554">
        <v>2018</v>
      </c>
      <c r="D1554" s="7">
        <v>45710</v>
      </c>
      <c r="E1554" t="s">
        <v>212</v>
      </c>
      <c r="F1554" t="s">
        <v>202</v>
      </c>
      <c r="G1554">
        <v>15</v>
      </c>
      <c r="H1554" s="7">
        <v>45731</v>
      </c>
      <c r="I1554" t="s">
        <v>207</v>
      </c>
    </row>
    <row r="1555" spans="1:9">
      <c r="A1555">
        <v>51554</v>
      </c>
      <c r="B1555">
        <v>3128</v>
      </c>
      <c r="C1555">
        <v>2018</v>
      </c>
      <c r="D1555" s="7">
        <v>45810</v>
      </c>
      <c r="E1555" t="s">
        <v>208</v>
      </c>
      <c r="F1555" t="s">
        <v>218</v>
      </c>
      <c r="H1555" s="7"/>
      <c r="I1555" t="s">
        <v>216</v>
      </c>
    </row>
    <row r="1556" spans="1:9">
      <c r="A1556">
        <v>51555</v>
      </c>
      <c r="B1556">
        <v>3128</v>
      </c>
      <c r="C1556">
        <v>2018</v>
      </c>
      <c r="D1556" s="7">
        <v>45846</v>
      </c>
      <c r="E1556" t="s">
        <v>204</v>
      </c>
      <c r="F1556" t="s">
        <v>213</v>
      </c>
      <c r="H1556" s="7">
        <v>45853</v>
      </c>
      <c r="I1556" t="s">
        <v>209</v>
      </c>
    </row>
    <row r="1557" spans="1:9">
      <c r="A1557">
        <v>51556</v>
      </c>
      <c r="B1557">
        <v>3128</v>
      </c>
      <c r="C1557">
        <v>2018</v>
      </c>
      <c r="D1557" s="7">
        <v>45893</v>
      </c>
      <c r="E1557" t="s">
        <v>204</v>
      </c>
      <c r="F1557" t="s">
        <v>202</v>
      </c>
      <c r="G1557">
        <v>15</v>
      </c>
      <c r="H1557" s="7">
        <v>45900</v>
      </c>
      <c r="I1557" t="s">
        <v>217</v>
      </c>
    </row>
    <row r="1558" spans="1:9">
      <c r="A1558">
        <v>51557</v>
      </c>
      <c r="B1558">
        <v>3128</v>
      </c>
      <c r="C1558">
        <v>2018</v>
      </c>
      <c r="D1558" s="7">
        <v>45985</v>
      </c>
      <c r="E1558" t="s">
        <v>219</v>
      </c>
      <c r="F1558" t="s">
        <v>202</v>
      </c>
      <c r="G1558">
        <v>15</v>
      </c>
      <c r="H1558" s="7">
        <v>46006</v>
      </c>
      <c r="I1558" t="s">
        <v>217</v>
      </c>
    </row>
    <row r="1559" spans="1:9">
      <c r="A1559">
        <v>51558</v>
      </c>
      <c r="B1559">
        <v>3128</v>
      </c>
      <c r="C1559">
        <v>2018</v>
      </c>
      <c r="D1559" s="7">
        <v>46073</v>
      </c>
      <c r="E1559" t="s">
        <v>219</v>
      </c>
      <c r="F1559" t="s">
        <v>213</v>
      </c>
      <c r="H1559" s="7">
        <v>46103</v>
      </c>
      <c r="I1559" t="s">
        <v>211</v>
      </c>
    </row>
    <row r="1560" spans="1:9">
      <c r="A1560">
        <v>51559</v>
      </c>
      <c r="B1560">
        <v>3129</v>
      </c>
      <c r="C1560">
        <v>2003</v>
      </c>
      <c r="D1560" s="7">
        <v>45497</v>
      </c>
      <c r="E1560" t="s">
        <v>204</v>
      </c>
      <c r="F1560" t="s">
        <v>202</v>
      </c>
      <c r="G1560">
        <v>15</v>
      </c>
      <c r="H1560" s="7">
        <v>45518</v>
      </c>
      <c r="I1560" t="s">
        <v>216</v>
      </c>
    </row>
    <row r="1561" spans="1:9">
      <c r="A1561">
        <v>51560</v>
      </c>
      <c r="B1561">
        <v>3129</v>
      </c>
      <c r="C1561">
        <v>2003</v>
      </c>
      <c r="D1561" s="7">
        <v>45518</v>
      </c>
      <c r="E1561" t="s">
        <v>204</v>
      </c>
      <c r="F1561" t="s">
        <v>202</v>
      </c>
      <c r="G1561">
        <v>20</v>
      </c>
      <c r="H1561" s="7">
        <v>45548</v>
      </c>
      <c r="I1561" t="s">
        <v>207</v>
      </c>
    </row>
    <row r="1562" spans="1:9">
      <c r="A1562">
        <v>51561</v>
      </c>
      <c r="B1562">
        <v>3129</v>
      </c>
      <c r="C1562">
        <v>2003</v>
      </c>
      <c r="D1562" s="7">
        <v>45615</v>
      </c>
      <c r="E1562" t="s">
        <v>212</v>
      </c>
      <c r="F1562" t="s">
        <v>202</v>
      </c>
      <c r="G1562">
        <v>45</v>
      </c>
      <c r="H1562" s="7">
        <v>45629</v>
      </c>
      <c r="I1562" t="s">
        <v>217</v>
      </c>
    </row>
    <row r="1563" spans="1:9">
      <c r="A1563">
        <v>51562</v>
      </c>
      <c r="B1563">
        <v>3129</v>
      </c>
      <c r="C1563">
        <v>2003</v>
      </c>
      <c r="D1563" s="7">
        <v>45645</v>
      </c>
      <c r="E1563" t="s">
        <v>208</v>
      </c>
      <c r="F1563" t="s">
        <v>214</v>
      </c>
      <c r="H1563" s="7">
        <v>45666</v>
      </c>
      <c r="I1563" t="s">
        <v>211</v>
      </c>
    </row>
    <row r="1564" spans="1:9">
      <c r="A1564">
        <v>51563</v>
      </c>
      <c r="B1564">
        <v>3129</v>
      </c>
      <c r="C1564">
        <v>2003</v>
      </c>
      <c r="D1564" s="7">
        <v>45876</v>
      </c>
      <c r="E1564" t="s">
        <v>210</v>
      </c>
      <c r="F1564" t="s">
        <v>214</v>
      </c>
      <c r="H1564" s="7">
        <v>45897</v>
      </c>
      <c r="I1564" t="s">
        <v>206</v>
      </c>
    </row>
    <row r="1565" spans="1:9">
      <c r="A1565">
        <v>51564</v>
      </c>
      <c r="B1565">
        <v>3129</v>
      </c>
      <c r="C1565">
        <v>2003</v>
      </c>
      <c r="D1565" s="7">
        <v>45946</v>
      </c>
      <c r="E1565" t="s">
        <v>204</v>
      </c>
      <c r="F1565" t="s">
        <v>213</v>
      </c>
      <c r="H1565" s="7">
        <v>45960</v>
      </c>
      <c r="I1565" t="s">
        <v>216</v>
      </c>
    </row>
    <row r="1566" spans="1:9">
      <c r="A1566">
        <v>51565</v>
      </c>
      <c r="B1566">
        <v>3130</v>
      </c>
      <c r="C1566">
        <v>2003</v>
      </c>
      <c r="D1566" s="7">
        <v>46012</v>
      </c>
      <c r="E1566" t="s">
        <v>212</v>
      </c>
      <c r="F1566" t="s">
        <v>213</v>
      </c>
      <c r="H1566" s="7">
        <v>46026</v>
      </c>
      <c r="I1566" t="s">
        <v>209</v>
      </c>
    </row>
    <row r="1567" spans="1:9">
      <c r="A1567">
        <v>51566</v>
      </c>
      <c r="B1567">
        <v>3130</v>
      </c>
      <c r="C1567">
        <v>2003</v>
      </c>
      <c r="D1567" s="7">
        <v>46069</v>
      </c>
      <c r="E1567" t="s">
        <v>219</v>
      </c>
      <c r="F1567" t="s">
        <v>202</v>
      </c>
      <c r="G1567">
        <v>30</v>
      </c>
      <c r="H1567" s="7">
        <v>46083</v>
      </c>
      <c r="I1567" t="s">
        <v>209</v>
      </c>
    </row>
    <row r="1568" spans="1:9">
      <c r="A1568">
        <v>51567</v>
      </c>
      <c r="B1568">
        <v>3130</v>
      </c>
      <c r="C1568">
        <v>2003</v>
      </c>
      <c r="D1568" s="7">
        <v>46095</v>
      </c>
      <c r="E1568" t="s">
        <v>219</v>
      </c>
      <c r="F1568" t="s">
        <v>215</v>
      </c>
      <c r="G1568">
        <v>45</v>
      </c>
      <c r="H1568" s="7">
        <v>46098</v>
      </c>
      <c r="I1568" t="s">
        <v>217</v>
      </c>
    </row>
    <row r="1569" spans="1:9">
      <c r="A1569">
        <v>51568</v>
      </c>
      <c r="B1569">
        <v>3130</v>
      </c>
      <c r="C1569">
        <v>2003</v>
      </c>
      <c r="D1569" s="7">
        <v>46129</v>
      </c>
      <c r="E1569" t="s">
        <v>219</v>
      </c>
      <c r="F1569" t="s">
        <v>218</v>
      </c>
      <c r="H1569" s="7"/>
      <c r="I1569" t="s">
        <v>203</v>
      </c>
    </row>
    <row r="1570" spans="1:9">
      <c r="A1570">
        <v>51569</v>
      </c>
      <c r="B1570">
        <v>3130</v>
      </c>
      <c r="C1570">
        <v>2003</v>
      </c>
      <c r="D1570" s="7">
        <v>46200</v>
      </c>
      <c r="E1570" t="s">
        <v>204</v>
      </c>
      <c r="F1570" t="s">
        <v>214</v>
      </c>
      <c r="H1570" s="7">
        <v>46207</v>
      </c>
      <c r="I1570" t="s">
        <v>211</v>
      </c>
    </row>
    <row r="1571" spans="1:9">
      <c r="A1571">
        <v>51570</v>
      </c>
      <c r="B1571">
        <v>3131</v>
      </c>
      <c r="C1571">
        <v>2005</v>
      </c>
      <c r="D1571" s="7">
        <v>45625</v>
      </c>
      <c r="E1571" t="s">
        <v>210</v>
      </c>
      <c r="F1571" t="s">
        <v>214</v>
      </c>
      <c r="H1571" s="7">
        <v>45632</v>
      </c>
      <c r="I1571" t="s">
        <v>211</v>
      </c>
    </row>
    <row r="1572" spans="1:9">
      <c r="A1572">
        <v>51571</v>
      </c>
      <c r="B1572">
        <v>3131</v>
      </c>
      <c r="C1572">
        <v>2005</v>
      </c>
      <c r="D1572" s="7">
        <v>45708</v>
      </c>
      <c r="E1572" t="s">
        <v>210</v>
      </c>
      <c r="F1572" t="s">
        <v>202</v>
      </c>
      <c r="G1572">
        <v>45</v>
      </c>
      <c r="H1572" s="7">
        <v>45715</v>
      </c>
      <c r="I1572" t="s">
        <v>207</v>
      </c>
    </row>
    <row r="1573" spans="1:9">
      <c r="A1573">
        <v>51572</v>
      </c>
      <c r="B1573">
        <v>3131</v>
      </c>
      <c r="C1573">
        <v>2005</v>
      </c>
      <c r="D1573" s="7">
        <v>45742</v>
      </c>
      <c r="E1573" t="s">
        <v>208</v>
      </c>
      <c r="F1573" t="s">
        <v>202</v>
      </c>
      <c r="G1573">
        <v>20</v>
      </c>
      <c r="H1573" s="7">
        <v>45763</v>
      </c>
      <c r="I1573" t="s">
        <v>206</v>
      </c>
    </row>
    <row r="1574" spans="1:9">
      <c r="A1574">
        <v>51573</v>
      </c>
      <c r="B1574">
        <v>3131</v>
      </c>
      <c r="C1574">
        <v>2005</v>
      </c>
      <c r="D1574" s="7">
        <v>45781</v>
      </c>
      <c r="E1574" t="s">
        <v>212</v>
      </c>
      <c r="F1574" t="s">
        <v>214</v>
      </c>
      <c r="H1574" s="7">
        <v>45811</v>
      </c>
      <c r="I1574" t="s">
        <v>211</v>
      </c>
    </row>
    <row r="1575" spans="1:9">
      <c r="A1575">
        <v>51574</v>
      </c>
      <c r="B1575">
        <v>3131</v>
      </c>
      <c r="C1575">
        <v>2005</v>
      </c>
      <c r="D1575" s="7">
        <v>45790</v>
      </c>
      <c r="E1575" t="s">
        <v>210</v>
      </c>
      <c r="F1575" t="s">
        <v>214</v>
      </c>
      <c r="H1575" s="7">
        <v>45804</v>
      </c>
      <c r="I1575" t="s">
        <v>206</v>
      </c>
    </row>
    <row r="1576" spans="1:9">
      <c r="A1576">
        <v>51575</v>
      </c>
      <c r="B1576">
        <v>3131</v>
      </c>
      <c r="C1576">
        <v>2005</v>
      </c>
      <c r="D1576" s="7">
        <v>45848</v>
      </c>
      <c r="E1576" t="s">
        <v>210</v>
      </c>
      <c r="F1576" t="s">
        <v>214</v>
      </c>
      <c r="H1576" s="7">
        <v>45862</v>
      </c>
      <c r="I1576" t="s">
        <v>206</v>
      </c>
    </row>
    <row r="1577" spans="1:9">
      <c r="A1577">
        <v>51576</v>
      </c>
      <c r="B1577">
        <v>3131</v>
      </c>
      <c r="C1577">
        <v>2005</v>
      </c>
      <c r="D1577" s="7">
        <v>45854</v>
      </c>
      <c r="E1577" t="s">
        <v>201</v>
      </c>
      <c r="F1577" t="s">
        <v>202</v>
      </c>
      <c r="G1577">
        <v>15</v>
      </c>
      <c r="H1577" s="7">
        <v>45868</v>
      </c>
      <c r="I1577" t="s">
        <v>211</v>
      </c>
    </row>
    <row r="1578" spans="1:9">
      <c r="A1578">
        <v>51577</v>
      </c>
      <c r="B1578">
        <v>3131</v>
      </c>
      <c r="C1578">
        <v>2005</v>
      </c>
      <c r="D1578" s="7">
        <v>45865</v>
      </c>
      <c r="E1578" t="s">
        <v>212</v>
      </c>
      <c r="F1578" t="s">
        <v>202</v>
      </c>
      <c r="G1578">
        <v>60</v>
      </c>
      <c r="H1578" s="7">
        <v>45872</v>
      </c>
      <c r="I1578" t="s">
        <v>209</v>
      </c>
    </row>
    <row r="1579" spans="1:9">
      <c r="A1579">
        <v>51578</v>
      </c>
      <c r="B1579">
        <v>3131</v>
      </c>
      <c r="C1579">
        <v>2005</v>
      </c>
      <c r="D1579" s="7">
        <v>45978</v>
      </c>
      <c r="E1579" t="s">
        <v>201</v>
      </c>
      <c r="F1579" t="s">
        <v>202</v>
      </c>
      <c r="G1579">
        <v>60</v>
      </c>
      <c r="H1579" s="7">
        <v>46008</v>
      </c>
      <c r="I1579" t="s">
        <v>209</v>
      </c>
    </row>
    <row r="1580" spans="1:9">
      <c r="A1580">
        <v>51579</v>
      </c>
      <c r="B1580">
        <v>3131</v>
      </c>
      <c r="C1580">
        <v>2005</v>
      </c>
      <c r="D1580" s="7">
        <v>45991</v>
      </c>
      <c r="E1580" t="s">
        <v>204</v>
      </c>
      <c r="F1580" t="s">
        <v>202</v>
      </c>
      <c r="G1580">
        <v>60</v>
      </c>
      <c r="H1580" s="7">
        <v>45994</v>
      </c>
      <c r="I1580" t="s">
        <v>211</v>
      </c>
    </row>
    <row r="1581" spans="1:9">
      <c r="A1581">
        <v>51580</v>
      </c>
      <c r="B1581">
        <v>3131</v>
      </c>
      <c r="C1581">
        <v>2005</v>
      </c>
      <c r="D1581" s="7">
        <v>46001</v>
      </c>
      <c r="E1581" t="s">
        <v>210</v>
      </c>
      <c r="F1581" t="s">
        <v>214</v>
      </c>
      <c r="H1581" s="7">
        <v>46015</v>
      </c>
      <c r="I1581" t="s">
        <v>209</v>
      </c>
    </row>
    <row r="1582" spans="1:9">
      <c r="A1582">
        <v>51581</v>
      </c>
      <c r="B1582">
        <v>3131</v>
      </c>
      <c r="C1582">
        <v>2005</v>
      </c>
      <c r="D1582" s="7">
        <v>46065</v>
      </c>
      <c r="E1582" t="s">
        <v>201</v>
      </c>
      <c r="F1582" t="s">
        <v>202</v>
      </c>
      <c r="G1582">
        <v>30</v>
      </c>
      <c r="H1582" s="7">
        <v>46095</v>
      </c>
      <c r="I1582" t="s">
        <v>209</v>
      </c>
    </row>
    <row r="1583" spans="1:9">
      <c r="A1583">
        <v>51582</v>
      </c>
      <c r="B1583">
        <v>3131</v>
      </c>
      <c r="C1583">
        <v>2005</v>
      </c>
      <c r="D1583" s="7">
        <v>46137</v>
      </c>
      <c r="E1583" t="s">
        <v>212</v>
      </c>
      <c r="F1583" t="s">
        <v>215</v>
      </c>
      <c r="G1583">
        <v>30</v>
      </c>
      <c r="H1583" s="7">
        <v>46144</v>
      </c>
      <c r="I1583" t="s">
        <v>217</v>
      </c>
    </row>
    <row r="1584" spans="1:9">
      <c r="A1584">
        <v>51583</v>
      </c>
      <c r="B1584">
        <v>3132</v>
      </c>
      <c r="C1584">
        <v>2005</v>
      </c>
      <c r="D1584" s="7">
        <v>45156</v>
      </c>
      <c r="E1584" t="s">
        <v>204</v>
      </c>
      <c r="F1584" t="s">
        <v>202</v>
      </c>
      <c r="G1584">
        <v>90</v>
      </c>
      <c r="H1584" s="7">
        <v>45186</v>
      </c>
      <c r="I1584" t="s">
        <v>216</v>
      </c>
    </row>
    <row r="1585" spans="1:9">
      <c r="A1585">
        <v>51584</v>
      </c>
      <c r="B1585">
        <v>3132</v>
      </c>
      <c r="C1585">
        <v>2005</v>
      </c>
      <c r="D1585" s="7">
        <v>45202</v>
      </c>
      <c r="E1585" t="s">
        <v>208</v>
      </c>
      <c r="F1585" t="s">
        <v>214</v>
      </c>
      <c r="H1585" s="7">
        <v>45223</v>
      </c>
      <c r="I1585" t="s">
        <v>203</v>
      </c>
    </row>
    <row r="1586" spans="1:9">
      <c r="A1586">
        <v>51585</v>
      </c>
      <c r="B1586">
        <v>3132</v>
      </c>
      <c r="C1586">
        <v>2005</v>
      </c>
      <c r="D1586" s="7">
        <v>45256</v>
      </c>
      <c r="E1586" t="s">
        <v>204</v>
      </c>
      <c r="F1586" t="s">
        <v>202</v>
      </c>
      <c r="G1586">
        <v>45</v>
      </c>
      <c r="H1586" s="7">
        <v>45286</v>
      </c>
      <c r="I1586" t="s">
        <v>217</v>
      </c>
    </row>
    <row r="1587" spans="1:9">
      <c r="A1587">
        <v>51586</v>
      </c>
      <c r="B1587">
        <v>3132</v>
      </c>
      <c r="C1587">
        <v>2005</v>
      </c>
      <c r="D1587" s="7">
        <v>45277</v>
      </c>
      <c r="E1587" t="s">
        <v>208</v>
      </c>
      <c r="F1587" t="s">
        <v>202</v>
      </c>
      <c r="G1587">
        <v>45</v>
      </c>
      <c r="H1587" s="7">
        <v>45284</v>
      </c>
      <c r="I1587" t="s">
        <v>207</v>
      </c>
    </row>
    <row r="1588" spans="1:9">
      <c r="A1588">
        <v>51587</v>
      </c>
      <c r="B1588">
        <v>3132</v>
      </c>
      <c r="C1588">
        <v>2005</v>
      </c>
      <c r="D1588" s="7">
        <v>45519</v>
      </c>
      <c r="E1588" t="s">
        <v>212</v>
      </c>
      <c r="F1588" t="s">
        <v>218</v>
      </c>
      <c r="H1588" s="7"/>
      <c r="I1588" t="s">
        <v>206</v>
      </c>
    </row>
    <row r="1589" spans="1:9">
      <c r="A1589">
        <v>51588</v>
      </c>
      <c r="B1589">
        <v>3132</v>
      </c>
      <c r="C1589">
        <v>2005</v>
      </c>
      <c r="D1589" s="7">
        <v>45574</v>
      </c>
      <c r="E1589" t="s">
        <v>212</v>
      </c>
      <c r="F1589" t="s">
        <v>202</v>
      </c>
      <c r="G1589">
        <v>15</v>
      </c>
      <c r="H1589" s="7">
        <v>45595</v>
      </c>
      <c r="I1589" t="s">
        <v>207</v>
      </c>
    </row>
    <row r="1590" spans="1:9">
      <c r="A1590">
        <v>51589</v>
      </c>
      <c r="B1590">
        <v>3132</v>
      </c>
      <c r="C1590">
        <v>2005</v>
      </c>
      <c r="D1590" s="7">
        <v>45827</v>
      </c>
      <c r="E1590" t="s">
        <v>201</v>
      </c>
      <c r="F1590" t="s">
        <v>202</v>
      </c>
      <c r="G1590">
        <v>20</v>
      </c>
      <c r="H1590" s="7">
        <v>45841</v>
      </c>
      <c r="I1590" t="s">
        <v>203</v>
      </c>
    </row>
    <row r="1591" spans="1:9">
      <c r="A1591">
        <v>51590</v>
      </c>
      <c r="B1591">
        <v>3132</v>
      </c>
      <c r="C1591">
        <v>2005</v>
      </c>
      <c r="D1591" s="7">
        <v>45918</v>
      </c>
      <c r="E1591" t="s">
        <v>204</v>
      </c>
      <c r="F1591" t="s">
        <v>202</v>
      </c>
      <c r="G1591">
        <v>60</v>
      </c>
      <c r="H1591" s="7">
        <v>45948</v>
      </c>
      <c r="I1591" t="s">
        <v>206</v>
      </c>
    </row>
    <row r="1592" spans="1:9">
      <c r="A1592">
        <v>51591</v>
      </c>
      <c r="B1592">
        <v>3133</v>
      </c>
      <c r="C1592">
        <v>2012</v>
      </c>
      <c r="D1592" s="7">
        <v>45860</v>
      </c>
      <c r="E1592" t="s">
        <v>210</v>
      </c>
      <c r="F1592" t="s">
        <v>214</v>
      </c>
      <c r="H1592" s="7">
        <v>45863</v>
      </c>
      <c r="I1592" t="s">
        <v>217</v>
      </c>
    </row>
    <row r="1593" spans="1:9">
      <c r="A1593">
        <v>51592</v>
      </c>
      <c r="B1593">
        <v>3133</v>
      </c>
      <c r="C1593">
        <v>2012</v>
      </c>
      <c r="D1593" s="7">
        <v>45919</v>
      </c>
      <c r="E1593" t="s">
        <v>210</v>
      </c>
      <c r="F1593" t="s">
        <v>214</v>
      </c>
      <c r="H1593" s="7">
        <v>45922</v>
      </c>
      <c r="I1593" t="s">
        <v>209</v>
      </c>
    </row>
    <row r="1594" spans="1:9">
      <c r="A1594">
        <v>51593</v>
      </c>
      <c r="B1594">
        <v>3133</v>
      </c>
      <c r="C1594">
        <v>2012</v>
      </c>
      <c r="D1594" s="7">
        <v>45950</v>
      </c>
      <c r="E1594" t="s">
        <v>204</v>
      </c>
      <c r="F1594" t="s">
        <v>202</v>
      </c>
      <c r="G1594">
        <v>60</v>
      </c>
      <c r="H1594" s="7">
        <v>45957</v>
      </c>
      <c r="I1594" t="s">
        <v>203</v>
      </c>
    </row>
    <row r="1595" spans="1:9">
      <c r="A1595">
        <v>51594</v>
      </c>
      <c r="B1595">
        <v>3133</v>
      </c>
      <c r="C1595">
        <v>2012</v>
      </c>
      <c r="D1595" s="7">
        <v>46076</v>
      </c>
      <c r="E1595" t="s">
        <v>208</v>
      </c>
      <c r="F1595" t="s">
        <v>202</v>
      </c>
      <c r="G1595">
        <v>20</v>
      </c>
      <c r="H1595" s="7">
        <v>46097</v>
      </c>
      <c r="I1595" t="s">
        <v>217</v>
      </c>
    </row>
    <row r="1596" spans="1:9">
      <c r="A1596">
        <v>51595</v>
      </c>
      <c r="B1596">
        <v>3134</v>
      </c>
      <c r="C1596">
        <v>2018</v>
      </c>
      <c r="D1596" s="7">
        <v>45562</v>
      </c>
      <c r="E1596" t="s">
        <v>204</v>
      </c>
      <c r="F1596" t="s">
        <v>213</v>
      </c>
      <c r="H1596" s="7">
        <v>45576</v>
      </c>
      <c r="I1596" t="s">
        <v>206</v>
      </c>
    </row>
    <row r="1597" spans="1:9">
      <c r="A1597">
        <v>51596</v>
      </c>
      <c r="B1597">
        <v>3134</v>
      </c>
      <c r="C1597">
        <v>2018</v>
      </c>
      <c r="D1597" s="7">
        <v>45622</v>
      </c>
      <c r="E1597" t="s">
        <v>210</v>
      </c>
      <c r="F1597" t="s">
        <v>202</v>
      </c>
      <c r="G1597">
        <v>90</v>
      </c>
      <c r="H1597" s="7">
        <v>45652</v>
      </c>
      <c r="I1597" t="s">
        <v>211</v>
      </c>
    </row>
    <row r="1598" spans="1:9">
      <c r="A1598">
        <v>51597</v>
      </c>
      <c r="B1598">
        <v>3134</v>
      </c>
      <c r="C1598">
        <v>2018</v>
      </c>
      <c r="D1598" s="7">
        <v>45636</v>
      </c>
      <c r="E1598" t="s">
        <v>212</v>
      </c>
      <c r="F1598" t="s">
        <v>202</v>
      </c>
      <c r="G1598">
        <v>45</v>
      </c>
      <c r="H1598" s="7">
        <v>45643</v>
      </c>
      <c r="I1598" t="s">
        <v>211</v>
      </c>
    </row>
    <row r="1599" spans="1:9">
      <c r="A1599">
        <v>51598</v>
      </c>
      <c r="B1599">
        <v>3134</v>
      </c>
      <c r="C1599">
        <v>2018</v>
      </c>
      <c r="D1599" s="7">
        <v>45679</v>
      </c>
      <c r="E1599" t="s">
        <v>219</v>
      </c>
      <c r="F1599" t="s">
        <v>214</v>
      </c>
      <c r="H1599" s="7">
        <v>45682</v>
      </c>
      <c r="I1599" t="s">
        <v>203</v>
      </c>
    </row>
    <row r="1600" spans="1:9">
      <c r="A1600">
        <v>51599</v>
      </c>
      <c r="B1600">
        <v>3134</v>
      </c>
      <c r="C1600">
        <v>2018</v>
      </c>
      <c r="D1600" s="7">
        <v>45716</v>
      </c>
      <c r="E1600" t="s">
        <v>219</v>
      </c>
      <c r="F1600" t="s">
        <v>202</v>
      </c>
      <c r="G1600">
        <v>10</v>
      </c>
      <c r="H1600" s="7">
        <v>45719</v>
      </c>
      <c r="I1600" t="s">
        <v>211</v>
      </c>
    </row>
    <row r="1601" spans="1:9">
      <c r="A1601">
        <v>51600</v>
      </c>
      <c r="B1601">
        <v>3134</v>
      </c>
      <c r="C1601">
        <v>2018</v>
      </c>
      <c r="D1601" s="7">
        <v>45801</v>
      </c>
      <c r="E1601" t="s">
        <v>208</v>
      </c>
      <c r="F1601" t="s">
        <v>214</v>
      </c>
      <c r="H1601" s="7">
        <v>45804</v>
      </c>
      <c r="I1601" t="s">
        <v>217</v>
      </c>
    </row>
    <row r="1602" spans="1:9">
      <c r="A1602">
        <v>51601</v>
      </c>
      <c r="B1602">
        <v>3134</v>
      </c>
      <c r="C1602">
        <v>2018</v>
      </c>
      <c r="D1602" s="7">
        <v>45808</v>
      </c>
      <c r="E1602" t="s">
        <v>201</v>
      </c>
      <c r="F1602" t="s">
        <v>202</v>
      </c>
      <c r="G1602">
        <v>20</v>
      </c>
      <c r="H1602" s="7">
        <v>45815</v>
      </c>
      <c r="I1602" t="s">
        <v>216</v>
      </c>
    </row>
    <row r="1603" spans="1:9">
      <c r="A1603">
        <v>51602</v>
      </c>
      <c r="B1603">
        <v>3134</v>
      </c>
      <c r="C1603">
        <v>2018</v>
      </c>
      <c r="D1603" s="7">
        <v>45827</v>
      </c>
      <c r="E1603" t="s">
        <v>204</v>
      </c>
      <c r="F1603" t="s">
        <v>202</v>
      </c>
      <c r="G1603">
        <v>90</v>
      </c>
      <c r="H1603" s="7">
        <v>45830</v>
      </c>
      <c r="I1603" t="s">
        <v>203</v>
      </c>
    </row>
    <row r="1604" spans="1:9">
      <c r="A1604">
        <v>51603</v>
      </c>
      <c r="B1604">
        <v>3134</v>
      </c>
      <c r="C1604">
        <v>2018</v>
      </c>
      <c r="D1604" s="7">
        <v>45833</v>
      </c>
      <c r="E1604" t="s">
        <v>210</v>
      </c>
      <c r="F1604" t="s">
        <v>214</v>
      </c>
      <c r="H1604" s="7">
        <v>45854</v>
      </c>
      <c r="I1604" t="s">
        <v>203</v>
      </c>
    </row>
    <row r="1605" spans="1:9">
      <c r="A1605">
        <v>51604</v>
      </c>
      <c r="B1605">
        <v>3134</v>
      </c>
      <c r="C1605">
        <v>2018</v>
      </c>
      <c r="D1605" s="7">
        <v>45907</v>
      </c>
      <c r="E1605" t="s">
        <v>204</v>
      </c>
      <c r="F1605" t="s">
        <v>202</v>
      </c>
      <c r="G1605">
        <v>90</v>
      </c>
      <c r="H1605" s="7">
        <v>45910</v>
      </c>
      <c r="I1605" t="s">
        <v>211</v>
      </c>
    </row>
    <row r="1606" spans="1:9">
      <c r="A1606">
        <v>51605</v>
      </c>
      <c r="B1606">
        <v>3134</v>
      </c>
      <c r="C1606">
        <v>2018</v>
      </c>
      <c r="D1606" s="7">
        <v>45908</v>
      </c>
      <c r="E1606" t="s">
        <v>204</v>
      </c>
      <c r="F1606" t="s">
        <v>202</v>
      </c>
      <c r="G1606">
        <v>20</v>
      </c>
      <c r="H1606" s="7">
        <v>45938</v>
      </c>
      <c r="I1606" t="s">
        <v>209</v>
      </c>
    </row>
    <row r="1607" spans="1:9">
      <c r="A1607">
        <v>51606</v>
      </c>
      <c r="B1607">
        <v>3134</v>
      </c>
      <c r="C1607">
        <v>2018</v>
      </c>
      <c r="D1607" s="7">
        <v>45978</v>
      </c>
      <c r="E1607" t="s">
        <v>212</v>
      </c>
      <c r="F1607" t="s">
        <v>202</v>
      </c>
      <c r="G1607">
        <v>10</v>
      </c>
      <c r="H1607" s="7">
        <v>45981</v>
      </c>
      <c r="I1607" t="s">
        <v>209</v>
      </c>
    </row>
    <row r="1608" spans="1:9">
      <c r="A1608">
        <v>51607</v>
      </c>
      <c r="B1608">
        <v>3134</v>
      </c>
      <c r="C1608">
        <v>2018</v>
      </c>
      <c r="D1608" s="7">
        <v>46017</v>
      </c>
      <c r="E1608" t="s">
        <v>201</v>
      </c>
      <c r="F1608" t="s">
        <v>215</v>
      </c>
      <c r="G1608">
        <v>15</v>
      </c>
      <c r="H1608" s="7">
        <v>46020</v>
      </c>
      <c r="I1608" t="s">
        <v>207</v>
      </c>
    </row>
    <row r="1609" spans="1:9">
      <c r="A1609">
        <v>51608</v>
      </c>
      <c r="B1609">
        <v>3134</v>
      </c>
      <c r="C1609">
        <v>2018</v>
      </c>
      <c r="D1609" s="7">
        <v>46019</v>
      </c>
      <c r="E1609" t="s">
        <v>201</v>
      </c>
      <c r="F1609" t="s">
        <v>202</v>
      </c>
      <c r="G1609">
        <v>10</v>
      </c>
      <c r="H1609" s="7">
        <v>46033</v>
      </c>
      <c r="I1609" t="s">
        <v>206</v>
      </c>
    </row>
    <row r="1610" spans="1:9">
      <c r="A1610">
        <v>51609</v>
      </c>
      <c r="B1610">
        <v>3134</v>
      </c>
      <c r="C1610">
        <v>2018</v>
      </c>
      <c r="D1610" s="7">
        <v>46031</v>
      </c>
      <c r="E1610" t="s">
        <v>210</v>
      </c>
      <c r="F1610" t="s">
        <v>214</v>
      </c>
      <c r="H1610" s="7">
        <v>46052</v>
      </c>
      <c r="I1610" t="s">
        <v>216</v>
      </c>
    </row>
    <row r="1611" spans="1:9">
      <c r="A1611">
        <v>51610</v>
      </c>
      <c r="B1611">
        <v>3134</v>
      </c>
      <c r="C1611">
        <v>2018</v>
      </c>
      <c r="D1611" s="7">
        <v>46053</v>
      </c>
      <c r="E1611" t="s">
        <v>212</v>
      </c>
      <c r="F1611" t="s">
        <v>214</v>
      </c>
      <c r="H1611" s="7">
        <v>46074</v>
      </c>
      <c r="I1611" t="s">
        <v>216</v>
      </c>
    </row>
    <row r="1612" spans="1:9">
      <c r="A1612">
        <v>51611</v>
      </c>
      <c r="B1612">
        <v>3134</v>
      </c>
      <c r="C1612">
        <v>2018</v>
      </c>
      <c r="D1612" s="7">
        <v>46074</v>
      </c>
      <c r="E1612" t="s">
        <v>210</v>
      </c>
      <c r="F1612" t="s">
        <v>205</v>
      </c>
      <c r="H1612" s="7"/>
      <c r="I1612" t="s">
        <v>216</v>
      </c>
    </row>
    <row r="1613" spans="1:9">
      <c r="A1613">
        <v>51612</v>
      </c>
      <c r="B1613">
        <v>3134</v>
      </c>
      <c r="C1613">
        <v>2018</v>
      </c>
      <c r="D1613" s="7">
        <v>46168</v>
      </c>
      <c r="E1613" t="s">
        <v>204</v>
      </c>
      <c r="F1613" t="s">
        <v>218</v>
      </c>
      <c r="H1613" s="7"/>
      <c r="I1613" t="s">
        <v>209</v>
      </c>
    </row>
    <row r="1614" spans="1:9">
      <c r="A1614">
        <v>51613</v>
      </c>
      <c r="B1614">
        <v>3134</v>
      </c>
      <c r="C1614">
        <v>2018</v>
      </c>
      <c r="D1614" s="7">
        <v>46198</v>
      </c>
      <c r="E1614" t="s">
        <v>204</v>
      </c>
      <c r="F1614" t="s">
        <v>218</v>
      </c>
      <c r="H1614" s="7"/>
      <c r="I1614" t="s">
        <v>206</v>
      </c>
    </row>
    <row r="1615" spans="1:9">
      <c r="A1615">
        <v>51614</v>
      </c>
      <c r="B1615">
        <v>3134</v>
      </c>
      <c r="C1615">
        <v>2018</v>
      </c>
      <c r="D1615" s="7">
        <v>46209</v>
      </c>
      <c r="E1615" t="s">
        <v>210</v>
      </c>
      <c r="F1615" t="s">
        <v>205</v>
      </c>
      <c r="H1615" s="7"/>
      <c r="I1615" t="s">
        <v>203</v>
      </c>
    </row>
    <row r="1616" spans="1:9">
      <c r="A1616">
        <v>51615</v>
      </c>
      <c r="B1616">
        <v>3135</v>
      </c>
      <c r="C1616">
        <v>2011</v>
      </c>
      <c r="D1616" s="7">
        <v>45731</v>
      </c>
      <c r="E1616" t="s">
        <v>201</v>
      </c>
      <c r="F1616" t="s">
        <v>205</v>
      </c>
      <c r="H1616" s="7"/>
      <c r="I1616" t="s">
        <v>209</v>
      </c>
    </row>
    <row r="1617" spans="1:9">
      <c r="A1617">
        <v>51616</v>
      </c>
      <c r="B1617">
        <v>3135</v>
      </c>
      <c r="C1617">
        <v>2011</v>
      </c>
      <c r="D1617" s="7">
        <v>45750</v>
      </c>
      <c r="E1617" t="s">
        <v>212</v>
      </c>
      <c r="F1617" t="s">
        <v>202</v>
      </c>
      <c r="G1617">
        <v>60</v>
      </c>
      <c r="H1617" s="7">
        <v>45764</v>
      </c>
      <c r="I1617" t="s">
        <v>217</v>
      </c>
    </row>
    <row r="1618" spans="1:9">
      <c r="A1618">
        <v>51617</v>
      </c>
      <c r="B1618">
        <v>3135</v>
      </c>
      <c r="C1618">
        <v>2011</v>
      </c>
      <c r="D1618" s="7">
        <v>45755</v>
      </c>
      <c r="E1618" t="s">
        <v>210</v>
      </c>
      <c r="F1618" t="s">
        <v>218</v>
      </c>
      <c r="H1618" s="7"/>
      <c r="I1618" t="s">
        <v>207</v>
      </c>
    </row>
    <row r="1619" spans="1:9">
      <c r="A1619">
        <v>51618</v>
      </c>
      <c r="B1619">
        <v>3135</v>
      </c>
      <c r="C1619">
        <v>2011</v>
      </c>
      <c r="D1619" s="7">
        <v>45784</v>
      </c>
      <c r="E1619" t="s">
        <v>208</v>
      </c>
      <c r="F1619" t="s">
        <v>202</v>
      </c>
      <c r="G1619">
        <v>90</v>
      </c>
      <c r="H1619" s="7">
        <v>45791</v>
      </c>
      <c r="I1619" t="s">
        <v>216</v>
      </c>
    </row>
    <row r="1620" spans="1:9">
      <c r="A1620">
        <v>51619</v>
      </c>
      <c r="B1620">
        <v>3135</v>
      </c>
      <c r="C1620">
        <v>2011</v>
      </c>
      <c r="D1620" s="7">
        <v>45853</v>
      </c>
      <c r="E1620" t="s">
        <v>201</v>
      </c>
      <c r="F1620" t="s">
        <v>213</v>
      </c>
      <c r="H1620" s="7">
        <v>45874</v>
      </c>
      <c r="I1620" t="s">
        <v>211</v>
      </c>
    </row>
    <row r="1621" spans="1:9">
      <c r="A1621">
        <v>51620</v>
      </c>
      <c r="B1621">
        <v>3135</v>
      </c>
      <c r="C1621">
        <v>2011</v>
      </c>
      <c r="D1621" s="7">
        <v>45875</v>
      </c>
      <c r="E1621" t="s">
        <v>208</v>
      </c>
      <c r="F1621" t="s">
        <v>215</v>
      </c>
      <c r="G1621">
        <v>20</v>
      </c>
      <c r="H1621" s="7">
        <v>45905</v>
      </c>
      <c r="I1621" t="s">
        <v>211</v>
      </c>
    </row>
    <row r="1622" spans="1:9">
      <c r="A1622">
        <v>51621</v>
      </c>
      <c r="B1622">
        <v>3135</v>
      </c>
      <c r="C1622">
        <v>2011</v>
      </c>
      <c r="D1622" s="7">
        <v>45971</v>
      </c>
      <c r="E1622" t="s">
        <v>219</v>
      </c>
      <c r="F1622" t="s">
        <v>202</v>
      </c>
      <c r="G1622">
        <v>15</v>
      </c>
      <c r="H1622" s="7">
        <v>45974</v>
      </c>
      <c r="I1622" t="s">
        <v>211</v>
      </c>
    </row>
    <row r="1623" spans="1:9">
      <c r="A1623">
        <v>51622</v>
      </c>
      <c r="B1623">
        <v>3135</v>
      </c>
      <c r="C1623">
        <v>2011</v>
      </c>
      <c r="D1623" s="7">
        <v>46039</v>
      </c>
      <c r="E1623" t="s">
        <v>204</v>
      </c>
      <c r="F1623" t="s">
        <v>202</v>
      </c>
      <c r="G1623">
        <v>15</v>
      </c>
      <c r="H1623" s="7">
        <v>46060</v>
      </c>
      <c r="I1623" t="s">
        <v>217</v>
      </c>
    </row>
    <row r="1624" spans="1:9">
      <c r="A1624">
        <v>51623</v>
      </c>
      <c r="B1624">
        <v>3135</v>
      </c>
      <c r="C1624">
        <v>2011</v>
      </c>
      <c r="D1624" s="7">
        <v>46058</v>
      </c>
      <c r="E1624" t="s">
        <v>212</v>
      </c>
      <c r="F1624" t="s">
        <v>213</v>
      </c>
      <c r="H1624" s="7">
        <v>46065</v>
      </c>
      <c r="I1624" t="s">
        <v>209</v>
      </c>
    </row>
    <row r="1625" spans="1:9">
      <c r="A1625">
        <v>51624</v>
      </c>
      <c r="B1625">
        <v>3135</v>
      </c>
      <c r="C1625">
        <v>2011</v>
      </c>
      <c r="D1625" s="7">
        <v>46102</v>
      </c>
      <c r="E1625" t="s">
        <v>219</v>
      </c>
      <c r="F1625" t="s">
        <v>202</v>
      </c>
      <c r="G1625">
        <v>30</v>
      </c>
      <c r="H1625" s="7">
        <v>46132</v>
      </c>
      <c r="I1625" t="s">
        <v>206</v>
      </c>
    </row>
    <row r="1626" spans="1:9">
      <c r="A1626">
        <v>51625</v>
      </c>
      <c r="B1626">
        <v>3135</v>
      </c>
      <c r="C1626">
        <v>2011</v>
      </c>
      <c r="D1626" s="7">
        <v>46109</v>
      </c>
      <c r="E1626" t="s">
        <v>204</v>
      </c>
      <c r="F1626" t="s">
        <v>214</v>
      </c>
      <c r="H1626" s="7">
        <v>46139</v>
      </c>
      <c r="I1626" t="s">
        <v>207</v>
      </c>
    </row>
    <row r="1627" spans="1:9">
      <c r="A1627">
        <v>51626</v>
      </c>
      <c r="B1627">
        <v>3135</v>
      </c>
      <c r="C1627">
        <v>2011</v>
      </c>
      <c r="D1627" s="7">
        <v>46111</v>
      </c>
      <c r="E1627" t="s">
        <v>219</v>
      </c>
      <c r="F1627" t="s">
        <v>215</v>
      </c>
      <c r="G1627">
        <v>30</v>
      </c>
      <c r="H1627" s="7">
        <v>46114</v>
      </c>
      <c r="I1627" t="s">
        <v>216</v>
      </c>
    </row>
    <row r="1628" spans="1:9">
      <c r="A1628">
        <v>51627</v>
      </c>
      <c r="B1628">
        <v>3135</v>
      </c>
      <c r="C1628">
        <v>2011</v>
      </c>
      <c r="D1628" s="7">
        <v>46126</v>
      </c>
      <c r="E1628" t="s">
        <v>219</v>
      </c>
      <c r="F1628" t="s">
        <v>202</v>
      </c>
      <c r="G1628">
        <v>30</v>
      </c>
      <c r="H1628" s="7">
        <v>46133</v>
      </c>
      <c r="I1628" t="s">
        <v>209</v>
      </c>
    </row>
    <row r="1629" spans="1:9">
      <c r="A1629">
        <v>51628</v>
      </c>
      <c r="B1629">
        <v>3135</v>
      </c>
      <c r="C1629">
        <v>2011</v>
      </c>
      <c r="D1629" s="7">
        <v>46200</v>
      </c>
      <c r="E1629" t="s">
        <v>204</v>
      </c>
      <c r="F1629" t="s">
        <v>202</v>
      </c>
      <c r="G1629">
        <v>15</v>
      </c>
      <c r="H1629" s="7">
        <v>46214</v>
      </c>
      <c r="I1629" t="s">
        <v>211</v>
      </c>
    </row>
    <row r="1630" spans="1:9">
      <c r="A1630">
        <v>51629</v>
      </c>
      <c r="B1630">
        <v>3136</v>
      </c>
      <c r="C1630">
        <v>2003</v>
      </c>
      <c r="D1630" s="7">
        <v>46147</v>
      </c>
      <c r="E1630" t="s">
        <v>201</v>
      </c>
      <c r="F1630" t="s">
        <v>202</v>
      </c>
      <c r="G1630">
        <v>90</v>
      </c>
      <c r="H1630" s="7">
        <v>46168</v>
      </c>
      <c r="I1630" t="s">
        <v>207</v>
      </c>
    </row>
    <row r="1631" spans="1:9">
      <c r="A1631">
        <v>51630</v>
      </c>
      <c r="B1631">
        <v>3136</v>
      </c>
      <c r="C1631">
        <v>2003</v>
      </c>
      <c r="D1631" s="7">
        <v>46159</v>
      </c>
      <c r="E1631" t="s">
        <v>201</v>
      </c>
      <c r="F1631" t="s">
        <v>215</v>
      </c>
      <c r="G1631">
        <v>30</v>
      </c>
      <c r="H1631" s="7">
        <v>46173</v>
      </c>
      <c r="I1631" t="s">
        <v>206</v>
      </c>
    </row>
    <row r="1632" spans="1:9">
      <c r="A1632">
        <v>51631</v>
      </c>
      <c r="B1632">
        <v>3136</v>
      </c>
      <c r="C1632">
        <v>2003</v>
      </c>
      <c r="D1632" s="7">
        <v>46173</v>
      </c>
      <c r="E1632" t="s">
        <v>212</v>
      </c>
      <c r="F1632" t="s">
        <v>202</v>
      </c>
      <c r="G1632">
        <v>90</v>
      </c>
      <c r="H1632" s="7">
        <v>46194</v>
      </c>
      <c r="I1632" t="s">
        <v>207</v>
      </c>
    </row>
    <row r="1633" spans="1:9">
      <c r="A1633">
        <v>51632</v>
      </c>
      <c r="B1633">
        <v>3136</v>
      </c>
      <c r="C1633">
        <v>2003</v>
      </c>
      <c r="D1633" s="7">
        <v>46188</v>
      </c>
      <c r="E1633" t="s">
        <v>210</v>
      </c>
      <c r="F1633" t="s">
        <v>215</v>
      </c>
      <c r="G1633">
        <v>45</v>
      </c>
      <c r="H1633" s="7">
        <v>46195</v>
      </c>
      <c r="I1633" t="s">
        <v>207</v>
      </c>
    </row>
    <row r="1634" spans="1:9">
      <c r="A1634">
        <v>51633</v>
      </c>
      <c r="B1634">
        <v>3136</v>
      </c>
      <c r="C1634">
        <v>2003</v>
      </c>
      <c r="D1634" s="7">
        <v>46190</v>
      </c>
      <c r="E1634" t="s">
        <v>212</v>
      </c>
      <c r="F1634" t="s">
        <v>213</v>
      </c>
      <c r="H1634" s="7">
        <v>46211</v>
      </c>
      <c r="I1634" t="s">
        <v>209</v>
      </c>
    </row>
    <row r="1635" spans="1:9">
      <c r="A1635">
        <v>51634</v>
      </c>
      <c r="B1635">
        <v>3136</v>
      </c>
      <c r="C1635">
        <v>2003</v>
      </c>
      <c r="D1635" s="7">
        <v>46191</v>
      </c>
      <c r="E1635" t="s">
        <v>201</v>
      </c>
      <c r="F1635" t="s">
        <v>214</v>
      </c>
      <c r="H1635" s="7"/>
      <c r="I1635" t="s">
        <v>216</v>
      </c>
    </row>
    <row r="1636" spans="1:9">
      <c r="A1636">
        <v>51635</v>
      </c>
      <c r="B1636">
        <v>3136</v>
      </c>
      <c r="C1636">
        <v>2003</v>
      </c>
      <c r="D1636" s="7">
        <v>46201</v>
      </c>
      <c r="E1636" t="s">
        <v>212</v>
      </c>
      <c r="F1636" t="s">
        <v>218</v>
      </c>
      <c r="H1636" s="7"/>
      <c r="I1636" t="s">
        <v>203</v>
      </c>
    </row>
    <row r="1637" spans="1:9">
      <c r="A1637">
        <v>51636</v>
      </c>
      <c r="B1637">
        <v>3136</v>
      </c>
      <c r="C1637">
        <v>2003</v>
      </c>
      <c r="D1637" s="7">
        <v>46213</v>
      </c>
      <c r="E1637" t="s">
        <v>204</v>
      </c>
      <c r="F1637" t="s">
        <v>202</v>
      </c>
      <c r="G1637">
        <v>15</v>
      </c>
      <c r="H1637" s="7"/>
      <c r="I1637" t="s">
        <v>216</v>
      </c>
    </row>
    <row r="1638" spans="1:9">
      <c r="A1638">
        <v>51637</v>
      </c>
      <c r="B1638">
        <v>3137</v>
      </c>
      <c r="C1638">
        <v>2006</v>
      </c>
      <c r="D1638" s="7">
        <v>45426</v>
      </c>
      <c r="E1638" t="s">
        <v>204</v>
      </c>
      <c r="F1638" t="s">
        <v>202</v>
      </c>
      <c r="G1638">
        <v>30</v>
      </c>
      <c r="H1638" s="7">
        <v>45456</v>
      </c>
      <c r="I1638" t="s">
        <v>209</v>
      </c>
    </row>
    <row r="1639" spans="1:9">
      <c r="A1639">
        <v>51638</v>
      </c>
      <c r="B1639">
        <v>3137</v>
      </c>
      <c r="C1639">
        <v>2006</v>
      </c>
      <c r="D1639" s="7">
        <v>45433</v>
      </c>
      <c r="E1639" t="s">
        <v>210</v>
      </c>
      <c r="F1639" t="s">
        <v>213</v>
      </c>
      <c r="H1639" s="7">
        <v>45440</v>
      </c>
      <c r="I1639" t="s">
        <v>203</v>
      </c>
    </row>
    <row r="1640" spans="1:9">
      <c r="A1640">
        <v>51639</v>
      </c>
      <c r="B1640">
        <v>3137</v>
      </c>
      <c r="C1640">
        <v>2006</v>
      </c>
      <c r="D1640" s="7">
        <v>45468</v>
      </c>
      <c r="E1640" t="s">
        <v>204</v>
      </c>
      <c r="F1640" t="s">
        <v>202</v>
      </c>
      <c r="G1640">
        <v>60</v>
      </c>
      <c r="H1640" s="7">
        <v>45498</v>
      </c>
      <c r="I1640" t="s">
        <v>203</v>
      </c>
    </row>
    <row r="1641" spans="1:9">
      <c r="A1641">
        <v>51640</v>
      </c>
      <c r="B1641">
        <v>3137</v>
      </c>
      <c r="C1641">
        <v>2006</v>
      </c>
      <c r="D1641" s="7">
        <v>45481</v>
      </c>
      <c r="E1641" t="s">
        <v>201</v>
      </c>
      <c r="F1641" t="s">
        <v>202</v>
      </c>
      <c r="G1641">
        <v>20</v>
      </c>
      <c r="H1641" s="7">
        <v>45488</v>
      </c>
      <c r="I1641" t="s">
        <v>207</v>
      </c>
    </row>
    <row r="1642" spans="1:9">
      <c r="A1642">
        <v>51641</v>
      </c>
      <c r="B1642">
        <v>3137</v>
      </c>
      <c r="C1642">
        <v>2006</v>
      </c>
      <c r="D1642" s="7">
        <v>45484</v>
      </c>
      <c r="E1642" t="s">
        <v>212</v>
      </c>
      <c r="F1642" t="s">
        <v>218</v>
      </c>
      <c r="H1642" s="7"/>
      <c r="I1642" t="s">
        <v>203</v>
      </c>
    </row>
    <row r="1643" spans="1:9">
      <c r="A1643">
        <v>51642</v>
      </c>
      <c r="B1643">
        <v>3137</v>
      </c>
      <c r="C1643">
        <v>2006</v>
      </c>
      <c r="D1643" s="7">
        <v>45652</v>
      </c>
      <c r="E1643" t="s">
        <v>204</v>
      </c>
      <c r="F1643" t="s">
        <v>214</v>
      </c>
      <c r="H1643" s="7">
        <v>45655</v>
      </c>
      <c r="I1643" t="s">
        <v>211</v>
      </c>
    </row>
    <row r="1644" spans="1:9">
      <c r="A1644">
        <v>51643</v>
      </c>
      <c r="B1644">
        <v>3137</v>
      </c>
      <c r="C1644">
        <v>2006</v>
      </c>
      <c r="D1644" s="7">
        <v>45669</v>
      </c>
      <c r="E1644" t="s">
        <v>210</v>
      </c>
      <c r="F1644" t="s">
        <v>218</v>
      </c>
      <c r="H1644" s="7"/>
      <c r="I1644" t="s">
        <v>211</v>
      </c>
    </row>
    <row r="1645" spans="1:9">
      <c r="A1645">
        <v>51644</v>
      </c>
      <c r="B1645">
        <v>3137</v>
      </c>
      <c r="C1645">
        <v>2006</v>
      </c>
      <c r="D1645" s="7">
        <v>45704</v>
      </c>
      <c r="E1645" t="s">
        <v>204</v>
      </c>
      <c r="F1645" t="s">
        <v>202</v>
      </c>
      <c r="G1645">
        <v>15</v>
      </c>
      <c r="H1645" s="7">
        <v>45718</v>
      </c>
      <c r="I1645" t="s">
        <v>203</v>
      </c>
    </row>
    <row r="1646" spans="1:9">
      <c r="A1646">
        <v>51645</v>
      </c>
      <c r="B1646">
        <v>3137</v>
      </c>
      <c r="C1646">
        <v>2006</v>
      </c>
      <c r="D1646" s="7">
        <v>45804</v>
      </c>
      <c r="E1646" t="s">
        <v>219</v>
      </c>
      <c r="F1646" t="s">
        <v>202</v>
      </c>
      <c r="G1646">
        <v>15</v>
      </c>
      <c r="H1646" s="7">
        <v>45825</v>
      </c>
      <c r="I1646" t="s">
        <v>217</v>
      </c>
    </row>
    <row r="1647" spans="1:9">
      <c r="A1647">
        <v>51646</v>
      </c>
      <c r="B1647">
        <v>3137</v>
      </c>
      <c r="C1647">
        <v>2006</v>
      </c>
      <c r="D1647" s="7">
        <v>45863</v>
      </c>
      <c r="E1647" t="s">
        <v>212</v>
      </c>
      <c r="F1647" t="s">
        <v>202</v>
      </c>
      <c r="G1647">
        <v>30</v>
      </c>
      <c r="H1647" s="7">
        <v>45893</v>
      </c>
      <c r="I1647" t="s">
        <v>217</v>
      </c>
    </row>
    <row r="1648" spans="1:9">
      <c r="A1648">
        <v>51647</v>
      </c>
      <c r="B1648">
        <v>3137</v>
      </c>
      <c r="C1648">
        <v>2006</v>
      </c>
      <c r="D1648" s="7">
        <v>45876</v>
      </c>
      <c r="E1648" t="s">
        <v>208</v>
      </c>
      <c r="F1648" t="s">
        <v>218</v>
      </c>
      <c r="H1648" s="7"/>
      <c r="I1648" t="s">
        <v>217</v>
      </c>
    </row>
    <row r="1649" spans="1:9">
      <c r="A1649">
        <v>51648</v>
      </c>
      <c r="B1649">
        <v>3137</v>
      </c>
      <c r="C1649">
        <v>2006</v>
      </c>
      <c r="D1649" s="7">
        <v>45975</v>
      </c>
      <c r="E1649" t="s">
        <v>204</v>
      </c>
      <c r="F1649" t="s">
        <v>202</v>
      </c>
      <c r="G1649">
        <v>20</v>
      </c>
      <c r="H1649" s="7">
        <v>46005</v>
      </c>
      <c r="I1649" t="s">
        <v>209</v>
      </c>
    </row>
    <row r="1650" spans="1:9">
      <c r="A1650">
        <v>51649</v>
      </c>
      <c r="B1650">
        <v>3137</v>
      </c>
      <c r="C1650">
        <v>2006</v>
      </c>
      <c r="D1650" s="7">
        <v>45982</v>
      </c>
      <c r="E1650" t="s">
        <v>201</v>
      </c>
      <c r="F1650" t="s">
        <v>202</v>
      </c>
      <c r="G1650">
        <v>20</v>
      </c>
      <c r="H1650" s="7">
        <v>46003</v>
      </c>
      <c r="I1650" t="s">
        <v>211</v>
      </c>
    </row>
    <row r="1651" spans="1:9">
      <c r="A1651">
        <v>51650</v>
      </c>
      <c r="B1651">
        <v>3137</v>
      </c>
      <c r="C1651">
        <v>2006</v>
      </c>
      <c r="D1651" s="7">
        <v>46033</v>
      </c>
      <c r="E1651" t="s">
        <v>204</v>
      </c>
      <c r="F1651" t="s">
        <v>202</v>
      </c>
      <c r="G1651">
        <v>90</v>
      </c>
      <c r="H1651" s="7">
        <v>46054</v>
      </c>
      <c r="I1651" t="s">
        <v>203</v>
      </c>
    </row>
    <row r="1652" spans="1:9">
      <c r="A1652">
        <v>51651</v>
      </c>
      <c r="B1652">
        <v>3137</v>
      </c>
      <c r="C1652">
        <v>2006</v>
      </c>
      <c r="D1652" s="7">
        <v>46205</v>
      </c>
      <c r="E1652" t="s">
        <v>204</v>
      </c>
      <c r="F1652" t="s">
        <v>214</v>
      </c>
      <c r="H1652" s="7"/>
      <c r="I1652" t="s">
        <v>207</v>
      </c>
    </row>
    <row r="1653" spans="1:9">
      <c r="A1653">
        <v>51652</v>
      </c>
      <c r="B1653">
        <v>3138</v>
      </c>
      <c r="C1653">
        <v>2017</v>
      </c>
      <c r="D1653" s="7">
        <v>45902</v>
      </c>
      <c r="E1653" t="s">
        <v>201</v>
      </c>
      <c r="F1653" t="s">
        <v>202</v>
      </c>
      <c r="G1653">
        <v>90</v>
      </c>
      <c r="H1653" s="7">
        <v>45932</v>
      </c>
      <c r="I1653" t="s">
        <v>203</v>
      </c>
    </row>
    <row r="1654" spans="1:9">
      <c r="A1654">
        <v>51653</v>
      </c>
      <c r="B1654">
        <v>3138</v>
      </c>
      <c r="C1654">
        <v>2017</v>
      </c>
      <c r="D1654" s="7">
        <v>45926</v>
      </c>
      <c r="E1654" t="s">
        <v>204</v>
      </c>
      <c r="F1654" t="s">
        <v>214</v>
      </c>
      <c r="H1654" s="7">
        <v>45940</v>
      </c>
      <c r="I1654" t="s">
        <v>217</v>
      </c>
    </row>
    <row r="1655" spans="1:9">
      <c r="A1655">
        <v>51654</v>
      </c>
      <c r="B1655">
        <v>3138</v>
      </c>
      <c r="C1655">
        <v>2017</v>
      </c>
      <c r="D1655" s="7">
        <v>45979</v>
      </c>
      <c r="E1655" t="s">
        <v>201</v>
      </c>
      <c r="F1655" t="s">
        <v>215</v>
      </c>
      <c r="G1655">
        <v>10</v>
      </c>
      <c r="H1655" s="7">
        <v>45986</v>
      </c>
      <c r="I1655" t="s">
        <v>203</v>
      </c>
    </row>
    <row r="1656" spans="1:9">
      <c r="A1656">
        <v>51655</v>
      </c>
      <c r="B1656">
        <v>3138</v>
      </c>
      <c r="C1656">
        <v>2017</v>
      </c>
      <c r="D1656" s="7">
        <v>45988</v>
      </c>
      <c r="E1656" t="s">
        <v>219</v>
      </c>
      <c r="F1656" t="s">
        <v>214</v>
      </c>
      <c r="H1656" s="7">
        <v>46018</v>
      </c>
      <c r="I1656" t="s">
        <v>206</v>
      </c>
    </row>
    <row r="1657" spans="1:9">
      <c r="A1657">
        <v>51656</v>
      </c>
      <c r="B1657">
        <v>3138</v>
      </c>
      <c r="C1657">
        <v>2017</v>
      </c>
      <c r="D1657" s="7">
        <v>46023</v>
      </c>
      <c r="E1657" t="s">
        <v>201</v>
      </c>
      <c r="F1657" t="s">
        <v>202</v>
      </c>
      <c r="G1657">
        <v>15</v>
      </c>
      <c r="H1657" s="7">
        <v>46026</v>
      </c>
      <c r="I1657" t="s">
        <v>207</v>
      </c>
    </row>
    <row r="1658" spans="1:9">
      <c r="A1658">
        <v>51657</v>
      </c>
      <c r="B1658">
        <v>3138</v>
      </c>
      <c r="C1658">
        <v>2017</v>
      </c>
      <c r="D1658" s="7">
        <v>46040</v>
      </c>
      <c r="E1658" t="s">
        <v>210</v>
      </c>
      <c r="F1658" t="s">
        <v>202</v>
      </c>
      <c r="G1658">
        <v>90</v>
      </c>
      <c r="H1658" s="7">
        <v>46061</v>
      </c>
      <c r="I1658" t="s">
        <v>207</v>
      </c>
    </row>
    <row r="1659" spans="1:9">
      <c r="A1659">
        <v>51658</v>
      </c>
      <c r="B1659">
        <v>3138</v>
      </c>
      <c r="C1659">
        <v>2017</v>
      </c>
      <c r="D1659" s="7">
        <v>46185</v>
      </c>
      <c r="E1659" t="s">
        <v>204</v>
      </c>
      <c r="F1659" t="s">
        <v>202</v>
      </c>
      <c r="G1659">
        <v>90</v>
      </c>
      <c r="H1659" s="7">
        <v>46188</v>
      </c>
      <c r="I1659" t="s">
        <v>206</v>
      </c>
    </row>
    <row r="1660" spans="1:9">
      <c r="A1660">
        <v>51659</v>
      </c>
      <c r="B1660">
        <v>3139</v>
      </c>
      <c r="C1660">
        <v>2003</v>
      </c>
      <c r="D1660" s="7">
        <v>45457</v>
      </c>
      <c r="E1660" t="s">
        <v>204</v>
      </c>
      <c r="F1660" t="s">
        <v>214</v>
      </c>
      <c r="H1660" s="7">
        <v>45464</v>
      </c>
      <c r="I1660" t="s">
        <v>217</v>
      </c>
    </row>
    <row r="1661" spans="1:9">
      <c r="A1661">
        <v>51660</v>
      </c>
      <c r="B1661">
        <v>3139</v>
      </c>
      <c r="C1661">
        <v>2003</v>
      </c>
      <c r="D1661" s="7">
        <v>45465</v>
      </c>
      <c r="E1661" t="s">
        <v>212</v>
      </c>
      <c r="F1661" t="s">
        <v>202</v>
      </c>
      <c r="G1661">
        <v>10</v>
      </c>
      <c r="H1661" s="7">
        <v>45479</v>
      </c>
      <c r="I1661" t="s">
        <v>211</v>
      </c>
    </row>
    <row r="1662" spans="1:9">
      <c r="A1662">
        <v>51661</v>
      </c>
      <c r="B1662">
        <v>3139</v>
      </c>
      <c r="C1662">
        <v>2003</v>
      </c>
      <c r="D1662" s="7">
        <v>45531</v>
      </c>
      <c r="E1662" t="s">
        <v>208</v>
      </c>
      <c r="F1662" t="s">
        <v>202</v>
      </c>
      <c r="G1662">
        <v>20</v>
      </c>
      <c r="H1662" s="7">
        <v>45552</v>
      </c>
      <c r="I1662" t="s">
        <v>203</v>
      </c>
    </row>
    <row r="1663" spans="1:9">
      <c r="A1663">
        <v>51662</v>
      </c>
      <c r="B1663">
        <v>3139</v>
      </c>
      <c r="C1663">
        <v>2003</v>
      </c>
      <c r="D1663" s="7">
        <v>45586</v>
      </c>
      <c r="E1663" t="s">
        <v>208</v>
      </c>
      <c r="F1663" t="s">
        <v>214</v>
      </c>
      <c r="H1663" s="7">
        <v>45589</v>
      </c>
      <c r="I1663" t="s">
        <v>217</v>
      </c>
    </row>
    <row r="1664" spans="1:9">
      <c r="A1664">
        <v>51663</v>
      </c>
      <c r="B1664">
        <v>3139</v>
      </c>
      <c r="C1664">
        <v>2003</v>
      </c>
      <c r="D1664" s="7">
        <v>46035</v>
      </c>
      <c r="E1664" t="s">
        <v>219</v>
      </c>
      <c r="F1664" t="s">
        <v>202</v>
      </c>
      <c r="G1664">
        <v>10</v>
      </c>
      <c r="H1664" s="7">
        <v>46049</v>
      </c>
      <c r="I1664" t="s">
        <v>207</v>
      </c>
    </row>
    <row r="1665" spans="1:9">
      <c r="A1665">
        <v>51664</v>
      </c>
      <c r="B1665">
        <v>3139</v>
      </c>
      <c r="C1665">
        <v>2003</v>
      </c>
      <c r="D1665" s="7">
        <v>46063</v>
      </c>
      <c r="E1665" t="s">
        <v>212</v>
      </c>
      <c r="F1665" t="s">
        <v>202</v>
      </c>
      <c r="G1665">
        <v>60</v>
      </c>
      <c r="H1665" s="7">
        <v>46077</v>
      </c>
      <c r="I1665" t="s">
        <v>209</v>
      </c>
    </row>
    <row r="1666" spans="1:9">
      <c r="A1666">
        <v>51665</v>
      </c>
      <c r="B1666">
        <v>3139</v>
      </c>
      <c r="C1666">
        <v>2003</v>
      </c>
      <c r="D1666" s="7">
        <v>46169</v>
      </c>
      <c r="E1666" t="s">
        <v>212</v>
      </c>
      <c r="F1666" t="s">
        <v>214</v>
      </c>
      <c r="H1666" s="7">
        <v>46172</v>
      </c>
      <c r="I1666" t="s">
        <v>217</v>
      </c>
    </row>
    <row r="1667" spans="1:9">
      <c r="A1667">
        <v>51666</v>
      </c>
      <c r="B1667">
        <v>3139</v>
      </c>
      <c r="C1667">
        <v>2003</v>
      </c>
      <c r="D1667" s="7">
        <v>46186</v>
      </c>
      <c r="E1667" t="s">
        <v>210</v>
      </c>
      <c r="F1667" t="s">
        <v>214</v>
      </c>
      <c r="H1667" s="7">
        <v>46207</v>
      </c>
      <c r="I1667" t="s">
        <v>206</v>
      </c>
    </row>
    <row r="1668" spans="1:9">
      <c r="A1668">
        <v>51667</v>
      </c>
      <c r="B1668">
        <v>3139</v>
      </c>
      <c r="C1668">
        <v>2003</v>
      </c>
      <c r="D1668" s="7">
        <v>46207</v>
      </c>
      <c r="E1668" t="s">
        <v>212</v>
      </c>
      <c r="F1668" t="s">
        <v>202</v>
      </c>
      <c r="G1668">
        <v>15</v>
      </c>
      <c r="H1668" s="7"/>
      <c r="I1668" t="s">
        <v>206</v>
      </c>
    </row>
    <row r="1669" spans="1:9">
      <c r="A1669">
        <v>51668</v>
      </c>
      <c r="B1669">
        <v>3140</v>
      </c>
      <c r="C1669">
        <v>2009</v>
      </c>
      <c r="D1669" s="7">
        <v>45674</v>
      </c>
      <c r="E1669" t="s">
        <v>201</v>
      </c>
      <c r="F1669" t="s">
        <v>214</v>
      </c>
      <c r="H1669" s="7">
        <v>45688</v>
      </c>
      <c r="I1669" t="s">
        <v>203</v>
      </c>
    </row>
    <row r="1670" spans="1:9">
      <c r="A1670">
        <v>51669</v>
      </c>
      <c r="B1670">
        <v>3140</v>
      </c>
      <c r="C1670">
        <v>2009</v>
      </c>
      <c r="D1670" s="7">
        <v>45730</v>
      </c>
      <c r="E1670" t="s">
        <v>204</v>
      </c>
      <c r="F1670" t="s">
        <v>215</v>
      </c>
      <c r="G1670">
        <v>30</v>
      </c>
      <c r="H1670" s="7">
        <v>45760</v>
      </c>
      <c r="I1670" t="s">
        <v>203</v>
      </c>
    </row>
    <row r="1671" spans="1:9">
      <c r="A1671">
        <v>51670</v>
      </c>
      <c r="B1671">
        <v>3140</v>
      </c>
      <c r="C1671">
        <v>2009</v>
      </c>
      <c r="D1671" s="7">
        <v>45769</v>
      </c>
      <c r="E1671" t="s">
        <v>212</v>
      </c>
      <c r="F1671" t="s">
        <v>218</v>
      </c>
      <c r="H1671" s="7"/>
      <c r="I1671" t="s">
        <v>203</v>
      </c>
    </row>
    <row r="1672" spans="1:9">
      <c r="A1672">
        <v>51671</v>
      </c>
      <c r="B1672">
        <v>3140</v>
      </c>
      <c r="C1672">
        <v>2009</v>
      </c>
      <c r="D1672" s="7">
        <v>45856</v>
      </c>
      <c r="E1672" t="s">
        <v>204</v>
      </c>
      <c r="F1672" t="s">
        <v>202</v>
      </c>
      <c r="G1672">
        <v>90</v>
      </c>
      <c r="H1672" s="7">
        <v>45886</v>
      </c>
      <c r="I1672" t="s">
        <v>211</v>
      </c>
    </row>
    <row r="1673" spans="1:9">
      <c r="A1673">
        <v>51672</v>
      </c>
      <c r="B1673">
        <v>3140</v>
      </c>
      <c r="C1673">
        <v>2009</v>
      </c>
      <c r="D1673" s="7">
        <v>45883</v>
      </c>
      <c r="E1673" t="s">
        <v>201</v>
      </c>
      <c r="F1673" t="s">
        <v>213</v>
      </c>
      <c r="H1673" s="7">
        <v>45913</v>
      </c>
      <c r="I1673" t="s">
        <v>207</v>
      </c>
    </row>
    <row r="1674" spans="1:9">
      <c r="A1674">
        <v>51673</v>
      </c>
      <c r="B1674">
        <v>3140</v>
      </c>
      <c r="C1674">
        <v>2009</v>
      </c>
      <c r="D1674" s="7">
        <v>45933</v>
      </c>
      <c r="E1674" t="s">
        <v>212</v>
      </c>
      <c r="F1674" t="s">
        <v>202</v>
      </c>
      <c r="G1674">
        <v>90</v>
      </c>
      <c r="H1674" s="7">
        <v>45947</v>
      </c>
      <c r="I1674" t="s">
        <v>217</v>
      </c>
    </row>
    <row r="1675" spans="1:9">
      <c r="A1675">
        <v>51674</v>
      </c>
      <c r="B1675">
        <v>3140</v>
      </c>
      <c r="C1675">
        <v>2009</v>
      </c>
      <c r="D1675" s="7">
        <v>45968</v>
      </c>
      <c r="E1675" t="s">
        <v>204</v>
      </c>
      <c r="F1675" t="s">
        <v>202</v>
      </c>
      <c r="G1675">
        <v>30</v>
      </c>
      <c r="H1675" s="7">
        <v>45989</v>
      </c>
      <c r="I1675" t="s">
        <v>217</v>
      </c>
    </row>
    <row r="1676" spans="1:9">
      <c r="A1676">
        <v>51675</v>
      </c>
      <c r="B1676">
        <v>3140</v>
      </c>
      <c r="C1676">
        <v>2009</v>
      </c>
      <c r="D1676" s="7">
        <v>45971</v>
      </c>
      <c r="E1676" t="s">
        <v>212</v>
      </c>
      <c r="F1676" t="s">
        <v>214</v>
      </c>
      <c r="H1676" s="7">
        <v>45985</v>
      </c>
      <c r="I1676" t="s">
        <v>211</v>
      </c>
    </row>
    <row r="1677" spans="1:9">
      <c r="A1677">
        <v>51676</v>
      </c>
      <c r="B1677">
        <v>3140</v>
      </c>
      <c r="C1677">
        <v>2009</v>
      </c>
      <c r="D1677" s="7">
        <v>46076</v>
      </c>
      <c r="E1677" t="s">
        <v>201</v>
      </c>
      <c r="F1677" t="s">
        <v>202</v>
      </c>
      <c r="G1677">
        <v>10</v>
      </c>
      <c r="H1677" s="7">
        <v>46090</v>
      </c>
      <c r="I1677" t="s">
        <v>203</v>
      </c>
    </row>
    <row r="1678" spans="1:9">
      <c r="A1678">
        <v>51677</v>
      </c>
      <c r="B1678">
        <v>3140</v>
      </c>
      <c r="C1678">
        <v>2009</v>
      </c>
      <c r="D1678" s="7">
        <v>46115</v>
      </c>
      <c r="E1678" t="s">
        <v>219</v>
      </c>
      <c r="F1678" t="s">
        <v>202</v>
      </c>
      <c r="G1678">
        <v>60</v>
      </c>
      <c r="H1678" s="7">
        <v>46129</v>
      </c>
      <c r="I1678" t="s">
        <v>217</v>
      </c>
    </row>
    <row r="1679" spans="1:9">
      <c r="A1679">
        <v>51678</v>
      </c>
      <c r="B1679">
        <v>3141</v>
      </c>
      <c r="C1679">
        <v>2012</v>
      </c>
      <c r="D1679" s="7">
        <v>46105</v>
      </c>
      <c r="E1679" t="s">
        <v>219</v>
      </c>
      <c r="F1679" t="s">
        <v>214</v>
      </c>
      <c r="H1679" s="7">
        <v>46119</v>
      </c>
      <c r="I1679" t="s">
        <v>207</v>
      </c>
    </row>
    <row r="1680" spans="1:9">
      <c r="A1680">
        <v>51679</v>
      </c>
      <c r="B1680">
        <v>3141</v>
      </c>
      <c r="C1680">
        <v>2012</v>
      </c>
      <c r="D1680" s="7">
        <v>46109</v>
      </c>
      <c r="E1680" t="s">
        <v>201</v>
      </c>
      <c r="F1680" t="s">
        <v>202</v>
      </c>
      <c r="G1680">
        <v>15</v>
      </c>
      <c r="H1680" s="7">
        <v>46139</v>
      </c>
      <c r="I1680" t="s">
        <v>211</v>
      </c>
    </row>
    <row r="1681" spans="1:9">
      <c r="A1681">
        <v>51680</v>
      </c>
      <c r="B1681">
        <v>3141</v>
      </c>
      <c r="C1681">
        <v>2012</v>
      </c>
      <c r="D1681" s="7">
        <v>46144</v>
      </c>
      <c r="E1681" t="s">
        <v>212</v>
      </c>
      <c r="F1681" t="s">
        <v>213</v>
      </c>
      <c r="H1681" s="7">
        <v>46158</v>
      </c>
      <c r="I1681" t="s">
        <v>209</v>
      </c>
    </row>
    <row r="1682" spans="1:9">
      <c r="A1682">
        <v>51681</v>
      </c>
      <c r="B1682">
        <v>3141</v>
      </c>
      <c r="C1682">
        <v>2012</v>
      </c>
      <c r="D1682" s="7">
        <v>46151</v>
      </c>
      <c r="E1682" t="s">
        <v>201</v>
      </c>
      <c r="F1682" t="s">
        <v>213</v>
      </c>
      <c r="H1682" s="7">
        <v>46158</v>
      </c>
      <c r="I1682" t="s">
        <v>216</v>
      </c>
    </row>
    <row r="1683" spans="1:9">
      <c r="A1683">
        <v>51682</v>
      </c>
      <c r="B1683">
        <v>3141</v>
      </c>
      <c r="C1683">
        <v>2012</v>
      </c>
      <c r="D1683" s="7">
        <v>46153</v>
      </c>
      <c r="E1683" t="s">
        <v>204</v>
      </c>
      <c r="F1683" t="s">
        <v>213</v>
      </c>
      <c r="H1683" s="7">
        <v>46160</v>
      </c>
      <c r="I1683" t="s">
        <v>206</v>
      </c>
    </row>
    <row r="1684" spans="1:9">
      <c r="A1684">
        <v>51683</v>
      </c>
      <c r="B1684">
        <v>3141</v>
      </c>
      <c r="C1684">
        <v>2012</v>
      </c>
      <c r="D1684" s="7">
        <v>46192</v>
      </c>
      <c r="E1684" t="s">
        <v>212</v>
      </c>
      <c r="F1684" t="s">
        <v>202</v>
      </c>
      <c r="G1684">
        <v>90</v>
      </c>
      <c r="H1684" s="7">
        <v>46206</v>
      </c>
      <c r="I1684" t="s">
        <v>209</v>
      </c>
    </row>
    <row r="1685" spans="1:9">
      <c r="A1685">
        <v>51684</v>
      </c>
      <c r="B1685">
        <v>3141</v>
      </c>
      <c r="C1685">
        <v>2012</v>
      </c>
      <c r="D1685" s="7">
        <v>46200</v>
      </c>
      <c r="E1685" t="s">
        <v>219</v>
      </c>
      <c r="F1685" t="s">
        <v>202</v>
      </c>
      <c r="G1685">
        <v>15</v>
      </c>
      <c r="H1685" s="7">
        <v>46214</v>
      </c>
      <c r="I1685" t="s">
        <v>217</v>
      </c>
    </row>
    <row r="1686" spans="1:9">
      <c r="A1686">
        <v>51685</v>
      </c>
      <c r="B1686">
        <v>3142</v>
      </c>
      <c r="C1686">
        <v>2006</v>
      </c>
      <c r="D1686" s="7">
        <v>45332</v>
      </c>
      <c r="E1686" t="s">
        <v>212</v>
      </c>
      <c r="F1686" t="s">
        <v>202</v>
      </c>
      <c r="G1686">
        <v>10</v>
      </c>
      <c r="H1686" s="7">
        <v>45335</v>
      </c>
      <c r="I1686" t="s">
        <v>206</v>
      </c>
    </row>
    <row r="1687" spans="1:9">
      <c r="A1687">
        <v>51686</v>
      </c>
      <c r="B1687">
        <v>3142</v>
      </c>
      <c r="C1687">
        <v>2006</v>
      </c>
      <c r="D1687" s="7">
        <v>45333</v>
      </c>
      <c r="E1687" t="s">
        <v>212</v>
      </c>
      <c r="F1687" t="s">
        <v>202</v>
      </c>
      <c r="G1687">
        <v>90</v>
      </c>
      <c r="H1687" s="7">
        <v>45354</v>
      </c>
      <c r="I1687" t="s">
        <v>203</v>
      </c>
    </row>
    <row r="1688" spans="1:9">
      <c r="A1688">
        <v>51687</v>
      </c>
      <c r="B1688">
        <v>3142</v>
      </c>
      <c r="C1688">
        <v>2006</v>
      </c>
      <c r="D1688" s="7">
        <v>45440</v>
      </c>
      <c r="E1688" t="s">
        <v>212</v>
      </c>
      <c r="F1688" t="s">
        <v>214</v>
      </c>
      <c r="H1688" s="7">
        <v>45454</v>
      </c>
      <c r="I1688" t="s">
        <v>207</v>
      </c>
    </row>
    <row r="1689" spans="1:9">
      <c r="A1689">
        <v>51688</v>
      </c>
      <c r="B1689">
        <v>3142</v>
      </c>
      <c r="C1689">
        <v>2006</v>
      </c>
      <c r="D1689" s="7">
        <v>45523</v>
      </c>
      <c r="E1689" t="s">
        <v>212</v>
      </c>
      <c r="F1689" t="s">
        <v>213</v>
      </c>
      <c r="H1689" s="7">
        <v>45544</v>
      </c>
      <c r="I1689" t="s">
        <v>207</v>
      </c>
    </row>
    <row r="1690" spans="1:9">
      <c r="A1690">
        <v>51689</v>
      </c>
      <c r="B1690">
        <v>3142</v>
      </c>
      <c r="C1690">
        <v>2006</v>
      </c>
      <c r="D1690" s="7">
        <v>45556</v>
      </c>
      <c r="E1690" t="s">
        <v>210</v>
      </c>
      <c r="F1690" t="s">
        <v>214</v>
      </c>
      <c r="H1690" s="7">
        <v>45586</v>
      </c>
      <c r="I1690" t="s">
        <v>207</v>
      </c>
    </row>
    <row r="1691" spans="1:9">
      <c r="A1691">
        <v>51690</v>
      </c>
      <c r="B1691">
        <v>3142</v>
      </c>
      <c r="C1691">
        <v>2006</v>
      </c>
      <c r="D1691" s="7">
        <v>45643</v>
      </c>
      <c r="E1691" t="s">
        <v>201</v>
      </c>
      <c r="F1691" t="s">
        <v>213</v>
      </c>
      <c r="H1691" s="7">
        <v>45673</v>
      </c>
      <c r="I1691" t="s">
        <v>206</v>
      </c>
    </row>
    <row r="1692" spans="1:9">
      <c r="A1692">
        <v>51691</v>
      </c>
      <c r="B1692">
        <v>3142</v>
      </c>
      <c r="C1692">
        <v>2006</v>
      </c>
      <c r="D1692" s="7">
        <v>45655</v>
      </c>
      <c r="E1692" t="s">
        <v>210</v>
      </c>
      <c r="F1692" t="s">
        <v>205</v>
      </c>
      <c r="H1692" s="7"/>
      <c r="I1692" t="s">
        <v>216</v>
      </c>
    </row>
    <row r="1693" spans="1:9">
      <c r="A1693">
        <v>51692</v>
      </c>
      <c r="B1693">
        <v>3142</v>
      </c>
      <c r="C1693">
        <v>2006</v>
      </c>
      <c r="D1693" s="7">
        <v>45674</v>
      </c>
      <c r="E1693" t="s">
        <v>201</v>
      </c>
      <c r="F1693" t="s">
        <v>202</v>
      </c>
      <c r="G1693">
        <v>20</v>
      </c>
      <c r="H1693" s="7">
        <v>45681</v>
      </c>
      <c r="I1693" t="s">
        <v>209</v>
      </c>
    </row>
    <row r="1694" spans="1:9">
      <c r="A1694">
        <v>51693</v>
      </c>
      <c r="B1694">
        <v>3142</v>
      </c>
      <c r="C1694">
        <v>2006</v>
      </c>
      <c r="D1694" s="7">
        <v>45728</v>
      </c>
      <c r="E1694" t="s">
        <v>204</v>
      </c>
      <c r="F1694" t="s">
        <v>205</v>
      </c>
      <c r="H1694" s="7"/>
      <c r="I1694" t="s">
        <v>217</v>
      </c>
    </row>
    <row r="1695" spans="1:9">
      <c r="A1695">
        <v>51694</v>
      </c>
      <c r="B1695">
        <v>3142</v>
      </c>
      <c r="C1695">
        <v>2006</v>
      </c>
      <c r="D1695" s="7">
        <v>45731</v>
      </c>
      <c r="E1695" t="s">
        <v>219</v>
      </c>
      <c r="F1695" t="s">
        <v>202</v>
      </c>
      <c r="G1695">
        <v>45</v>
      </c>
      <c r="H1695" s="7">
        <v>45761</v>
      </c>
      <c r="I1695" t="s">
        <v>216</v>
      </c>
    </row>
    <row r="1696" spans="1:9">
      <c r="A1696">
        <v>51695</v>
      </c>
      <c r="B1696">
        <v>3142</v>
      </c>
      <c r="C1696">
        <v>2006</v>
      </c>
      <c r="D1696" s="7">
        <v>45760</v>
      </c>
      <c r="E1696" t="s">
        <v>212</v>
      </c>
      <c r="F1696" t="s">
        <v>202</v>
      </c>
      <c r="G1696">
        <v>20</v>
      </c>
      <c r="H1696" s="7">
        <v>45781</v>
      </c>
      <c r="I1696" t="s">
        <v>211</v>
      </c>
    </row>
    <row r="1697" spans="1:9">
      <c r="A1697">
        <v>51696</v>
      </c>
      <c r="B1697">
        <v>3142</v>
      </c>
      <c r="C1697">
        <v>2006</v>
      </c>
      <c r="D1697" s="7">
        <v>45808</v>
      </c>
      <c r="E1697" t="s">
        <v>212</v>
      </c>
      <c r="F1697" t="s">
        <v>202</v>
      </c>
      <c r="G1697">
        <v>30</v>
      </c>
      <c r="H1697" s="7">
        <v>45829</v>
      </c>
      <c r="I1697" t="s">
        <v>216</v>
      </c>
    </row>
    <row r="1698" spans="1:9">
      <c r="A1698">
        <v>51697</v>
      </c>
      <c r="B1698">
        <v>3142</v>
      </c>
      <c r="C1698">
        <v>2006</v>
      </c>
      <c r="D1698" s="7">
        <v>45851</v>
      </c>
      <c r="E1698" t="s">
        <v>212</v>
      </c>
      <c r="F1698" t="s">
        <v>202</v>
      </c>
      <c r="G1698">
        <v>45</v>
      </c>
      <c r="H1698" s="7">
        <v>45858</v>
      </c>
      <c r="I1698" t="s">
        <v>207</v>
      </c>
    </row>
    <row r="1699" spans="1:9">
      <c r="A1699">
        <v>51698</v>
      </c>
      <c r="B1699">
        <v>3142</v>
      </c>
      <c r="C1699">
        <v>2006</v>
      </c>
      <c r="D1699" s="7">
        <v>45943</v>
      </c>
      <c r="E1699" t="s">
        <v>208</v>
      </c>
      <c r="F1699" t="s">
        <v>202</v>
      </c>
      <c r="G1699">
        <v>90</v>
      </c>
      <c r="H1699" s="7">
        <v>45973</v>
      </c>
      <c r="I1699" t="s">
        <v>206</v>
      </c>
    </row>
    <row r="1700" spans="1:9">
      <c r="A1700">
        <v>51699</v>
      </c>
      <c r="B1700">
        <v>3142</v>
      </c>
      <c r="C1700">
        <v>2006</v>
      </c>
      <c r="D1700" s="7">
        <v>45986</v>
      </c>
      <c r="E1700" t="s">
        <v>204</v>
      </c>
      <c r="F1700" t="s">
        <v>202</v>
      </c>
      <c r="G1700">
        <v>10</v>
      </c>
      <c r="H1700" s="7">
        <v>45989</v>
      </c>
      <c r="I1700" t="s">
        <v>217</v>
      </c>
    </row>
    <row r="1701" spans="1:9">
      <c r="A1701">
        <v>51700</v>
      </c>
      <c r="B1701">
        <v>3142</v>
      </c>
      <c r="C1701">
        <v>2006</v>
      </c>
      <c r="D1701" s="7">
        <v>46009</v>
      </c>
      <c r="E1701" t="s">
        <v>204</v>
      </c>
      <c r="F1701" t="s">
        <v>213</v>
      </c>
      <c r="H1701" s="7">
        <v>46039</v>
      </c>
      <c r="I1701" t="s">
        <v>209</v>
      </c>
    </row>
    <row r="1702" spans="1:9">
      <c r="A1702">
        <v>51701</v>
      </c>
      <c r="B1702">
        <v>3142</v>
      </c>
      <c r="C1702">
        <v>2006</v>
      </c>
      <c r="D1702" s="7">
        <v>46026</v>
      </c>
      <c r="E1702" t="s">
        <v>204</v>
      </c>
      <c r="F1702" t="s">
        <v>202</v>
      </c>
      <c r="G1702">
        <v>45</v>
      </c>
      <c r="H1702" s="7">
        <v>46033</v>
      </c>
      <c r="I1702" t="s">
        <v>216</v>
      </c>
    </row>
    <row r="1703" spans="1:9">
      <c r="A1703">
        <v>51702</v>
      </c>
      <c r="B1703">
        <v>3142</v>
      </c>
      <c r="C1703">
        <v>2006</v>
      </c>
      <c r="D1703" s="7">
        <v>46098</v>
      </c>
      <c r="E1703" t="s">
        <v>212</v>
      </c>
      <c r="F1703" t="s">
        <v>202</v>
      </c>
      <c r="G1703">
        <v>20</v>
      </c>
      <c r="H1703" s="7">
        <v>46119</v>
      </c>
      <c r="I1703" t="s">
        <v>209</v>
      </c>
    </row>
    <row r="1704" spans="1:9">
      <c r="A1704">
        <v>51703</v>
      </c>
      <c r="B1704">
        <v>3143</v>
      </c>
      <c r="C1704">
        <v>2013</v>
      </c>
      <c r="D1704" s="7">
        <v>45938</v>
      </c>
      <c r="E1704" t="s">
        <v>212</v>
      </c>
      <c r="F1704" t="s">
        <v>202</v>
      </c>
      <c r="G1704">
        <v>60</v>
      </c>
      <c r="H1704" s="7">
        <v>45945</v>
      </c>
      <c r="I1704" t="s">
        <v>203</v>
      </c>
    </row>
    <row r="1705" spans="1:9">
      <c r="A1705">
        <v>51704</v>
      </c>
      <c r="B1705">
        <v>3143</v>
      </c>
      <c r="C1705">
        <v>2013</v>
      </c>
      <c r="D1705" s="7">
        <v>45997</v>
      </c>
      <c r="E1705" t="s">
        <v>212</v>
      </c>
      <c r="F1705" t="s">
        <v>202</v>
      </c>
      <c r="G1705">
        <v>60</v>
      </c>
      <c r="H1705" s="7">
        <v>46018</v>
      </c>
      <c r="I1705" t="s">
        <v>211</v>
      </c>
    </row>
    <row r="1706" spans="1:9">
      <c r="A1706">
        <v>51705</v>
      </c>
      <c r="B1706">
        <v>3143</v>
      </c>
      <c r="C1706">
        <v>2013</v>
      </c>
      <c r="D1706" s="7">
        <v>46018</v>
      </c>
      <c r="E1706" t="s">
        <v>219</v>
      </c>
      <c r="F1706" t="s">
        <v>205</v>
      </c>
      <c r="H1706" s="7"/>
      <c r="I1706" t="s">
        <v>203</v>
      </c>
    </row>
    <row r="1707" spans="1:9">
      <c r="A1707">
        <v>51706</v>
      </c>
      <c r="B1707">
        <v>3143</v>
      </c>
      <c r="C1707">
        <v>2013</v>
      </c>
      <c r="D1707" s="7">
        <v>46028</v>
      </c>
      <c r="E1707" t="s">
        <v>204</v>
      </c>
      <c r="F1707" t="s">
        <v>218</v>
      </c>
      <c r="H1707" s="7"/>
      <c r="I1707" t="s">
        <v>217</v>
      </c>
    </row>
    <row r="1708" spans="1:9">
      <c r="A1708">
        <v>51707</v>
      </c>
      <c r="B1708">
        <v>3143</v>
      </c>
      <c r="C1708">
        <v>2013</v>
      </c>
      <c r="D1708" s="7">
        <v>46119</v>
      </c>
      <c r="E1708" t="s">
        <v>208</v>
      </c>
      <c r="F1708" t="s">
        <v>205</v>
      </c>
      <c r="H1708" s="7"/>
      <c r="I1708" t="s">
        <v>206</v>
      </c>
    </row>
    <row r="1709" spans="1:9">
      <c r="A1709">
        <v>51708</v>
      </c>
      <c r="B1709">
        <v>3143</v>
      </c>
      <c r="C1709">
        <v>2013</v>
      </c>
      <c r="D1709" s="7">
        <v>46123</v>
      </c>
      <c r="E1709" t="s">
        <v>219</v>
      </c>
      <c r="F1709" t="s">
        <v>205</v>
      </c>
      <c r="H1709" s="7"/>
      <c r="I1709" t="s">
        <v>206</v>
      </c>
    </row>
    <row r="1710" spans="1:9">
      <c r="A1710">
        <v>51709</v>
      </c>
      <c r="B1710">
        <v>3143</v>
      </c>
      <c r="C1710">
        <v>2013</v>
      </c>
      <c r="D1710" s="7">
        <v>46197</v>
      </c>
      <c r="E1710" t="s">
        <v>201</v>
      </c>
      <c r="F1710" t="s">
        <v>202</v>
      </c>
      <c r="G1710">
        <v>20</v>
      </c>
      <c r="H1710" s="7">
        <v>46211</v>
      </c>
      <c r="I1710" t="s">
        <v>217</v>
      </c>
    </row>
    <row r="1711" spans="1:9">
      <c r="A1711">
        <v>51710</v>
      </c>
      <c r="B1711">
        <v>3144</v>
      </c>
      <c r="C1711">
        <v>2007</v>
      </c>
      <c r="D1711" s="7">
        <v>45825</v>
      </c>
      <c r="E1711" t="s">
        <v>201</v>
      </c>
      <c r="F1711" t="s">
        <v>202</v>
      </c>
      <c r="G1711">
        <v>20</v>
      </c>
      <c r="H1711" s="7">
        <v>45832</v>
      </c>
      <c r="I1711" t="s">
        <v>209</v>
      </c>
    </row>
    <row r="1712" spans="1:9">
      <c r="A1712">
        <v>51711</v>
      </c>
      <c r="B1712">
        <v>3144</v>
      </c>
      <c r="C1712">
        <v>2007</v>
      </c>
      <c r="D1712" s="7">
        <v>45837</v>
      </c>
      <c r="E1712" t="s">
        <v>204</v>
      </c>
      <c r="F1712" t="s">
        <v>202</v>
      </c>
      <c r="G1712">
        <v>20</v>
      </c>
      <c r="H1712" s="7">
        <v>45844</v>
      </c>
      <c r="I1712" t="s">
        <v>216</v>
      </c>
    </row>
    <row r="1713" spans="1:9">
      <c r="A1713">
        <v>51712</v>
      </c>
      <c r="B1713">
        <v>3144</v>
      </c>
      <c r="C1713">
        <v>2007</v>
      </c>
      <c r="D1713" s="7">
        <v>45902</v>
      </c>
      <c r="E1713" t="s">
        <v>208</v>
      </c>
      <c r="F1713" t="s">
        <v>214</v>
      </c>
      <c r="H1713" s="7">
        <v>45923</v>
      </c>
      <c r="I1713" t="s">
        <v>209</v>
      </c>
    </row>
    <row r="1714" spans="1:9">
      <c r="A1714">
        <v>51713</v>
      </c>
      <c r="B1714">
        <v>3144</v>
      </c>
      <c r="C1714">
        <v>2007</v>
      </c>
      <c r="D1714" s="7">
        <v>45925</v>
      </c>
      <c r="E1714" t="s">
        <v>210</v>
      </c>
      <c r="F1714" t="s">
        <v>213</v>
      </c>
      <c r="H1714" s="7">
        <v>45928</v>
      </c>
      <c r="I1714" t="s">
        <v>216</v>
      </c>
    </row>
    <row r="1715" spans="1:9">
      <c r="A1715">
        <v>51714</v>
      </c>
      <c r="B1715">
        <v>3144</v>
      </c>
      <c r="C1715">
        <v>2007</v>
      </c>
      <c r="D1715" s="7">
        <v>45944</v>
      </c>
      <c r="E1715" t="s">
        <v>212</v>
      </c>
      <c r="F1715" t="s">
        <v>202</v>
      </c>
      <c r="G1715">
        <v>30</v>
      </c>
      <c r="H1715" s="7">
        <v>45951</v>
      </c>
      <c r="I1715" t="s">
        <v>203</v>
      </c>
    </row>
    <row r="1716" spans="1:9">
      <c r="A1716">
        <v>51715</v>
      </c>
      <c r="B1716">
        <v>3144</v>
      </c>
      <c r="C1716">
        <v>2007</v>
      </c>
      <c r="D1716" s="7">
        <v>45961</v>
      </c>
      <c r="E1716" t="s">
        <v>212</v>
      </c>
      <c r="F1716" t="s">
        <v>215</v>
      </c>
      <c r="G1716">
        <v>15</v>
      </c>
      <c r="H1716" s="7">
        <v>45968</v>
      </c>
      <c r="I1716" t="s">
        <v>217</v>
      </c>
    </row>
    <row r="1717" spans="1:9">
      <c r="A1717">
        <v>51716</v>
      </c>
      <c r="B1717">
        <v>3144</v>
      </c>
      <c r="C1717">
        <v>2007</v>
      </c>
      <c r="D1717" s="7">
        <v>45994</v>
      </c>
      <c r="E1717" t="s">
        <v>204</v>
      </c>
      <c r="F1717" t="s">
        <v>202</v>
      </c>
      <c r="G1717">
        <v>30</v>
      </c>
      <c r="H1717" s="7">
        <v>45997</v>
      </c>
      <c r="I1717" t="s">
        <v>211</v>
      </c>
    </row>
    <row r="1718" spans="1:9">
      <c r="A1718">
        <v>51717</v>
      </c>
      <c r="B1718">
        <v>3144</v>
      </c>
      <c r="C1718">
        <v>2007</v>
      </c>
      <c r="D1718" s="7">
        <v>46041</v>
      </c>
      <c r="E1718" t="s">
        <v>212</v>
      </c>
      <c r="F1718" t="s">
        <v>214</v>
      </c>
      <c r="H1718" s="7">
        <v>46048</v>
      </c>
      <c r="I1718" t="s">
        <v>209</v>
      </c>
    </row>
    <row r="1719" spans="1:9">
      <c r="A1719">
        <v>51718</v>
      </c>
      <c r="B1719">
        <v>3144</v>
      </c>
      <c r="C1719">
        <v>2007</v>
      </c>
      <c r="D1719" s="7">
        <v>46102</v>
      </c>
      <c r="E1719" t="s">
        <v>210</v>
      </c>
      <c r="F1719" t="s">
        <v>205</v>
      </c>
      <c r="H1719" s="7"/>
      <c r="I1719" t="s">
        <v>211</v>
      </c>
    </row>
    <row r="1720" spans="1:9">
      <c r="A1720">
        <v>51719</v>
      </c>
      <c r="B1720">
        <v>3144</v>
      </c>
      <c r="C1720">
        <v>2007</v>
      </c>
      <c r="D1720" s="7">
        <v>46210</v>
      </c>
      <c r="E1720" t="s">
        <v>212</v>
      </c>
      <c r="F1720" t="s">
        <v>202</v>
      </c>
      <c r="G1720">
        <v>10</v>
      </c>
      <c r="H1720" s="7">
        <v>46213</v>
      </c>
      <c r="I1720" t="s">
        <v>207</v>
      </c>
    </row>
    <row r="1721" spans="1:9">
      <c r="A1721">
        <v>51720</v>
      </c>
      <c r="B1721">
        <v>3145</v>
      </c>
      <c r="C1721">
        <v>2005</v>
      </c>
      <c r="D1721" s="7">
        <v>45966</v>
      </c>
      <c r="E1721" t="s">
        <v>208</v>
      </c>
      <c r="F1721" t="s">
        <v>202</v>
      </c>
      <c r="G1721">
        <v>20</v>
      </c>
      <c r="H1721" s="7">
        <v>45980</v>
      </c>
      <c r="I1721" t="s">
        <v>207</v>
      </c>
    </row>
    <row r="1722" spans="1:9">
      <c r="A1722">
        <v>51721</v>
      </c>
      <c r="B1722">
        <v>3145</v>
      </c>
      <c r="C1722">
        <v>2005</v>
      </c>
      <c r="D1722" s="7">
        <v>45985</v>
      </c>
      <c r="E1722" t="s">
        <v>219</v>
      </c>
      <c r="F1722" t="s">
        <v>214</v>
      </c>
      <c r="H1722" s="7">
        <v>46006</v>
      </c>
      <c r="I1722" t="s">
        <v>203</v>
      </c>
    </row>
    <row r="1723" spans="1:9">
      <c r="A1723">
        <v>51722</v>
      </c>
      <c r="B1723">
        <v>3145</v>
      </c>
      <c r="C1723">
        <v>2005</v>
      </c>
      <c r="D1723" s="7">
        <v>45992</v>
      </c>
      <c r="E1723" t="s">
        <v>210</v>
      </c>
      <c r="F1723" t="s">
        <v>214</v>
      </c>
      <c r="H1723" s="7">
        <v>45999</v>
      </c>
      <c r="I1723" t="s">
        <v>211</v>
      </c>
    </row>
    <row r="1724" spans="1:9">
      <c r="A1724">
        <v>51723</v>
      </c>
      <c r="B1724">
        <v>3145</v>
      </c>
      <c r="C1724">
        <v>2005</v>
      </c>
      <c r="D1724" s="7">
        <v>46028</v>
      </c>
      <c r="E1724" t="s">
        <v>204</v>
      </c>
      <c r="F1724" t="s">
        <v>214</v>
      </c>
      <c r="H1724" s="7">
        <v>46049</v>
      </c>
      <c r="I1724" t="s">
        <v>217</v>
      </c>
    </row>
    <row r="1725" spans="1:9">
      <c r="A1725">
        <v>51724</v>
      </c>
      <c r="B1725">
        <v>3145</v>
      </c>
      <c r="C1725">
        <v>2005</v>
      </c>
      <c r="D1725" s="7">
        <v>46056</v>
      </c>
      <c r="E1725" t="s">
        <v>204</v>
      </c>
      <c r="F1725" t="s">
        <v>218</v>
      </c>
      <c r="H1725" s="7"/>
      <c r="I1725" t="s">
        <v>209</v>
      </c>
    </row>
    <row r="1726" spans="1:9">
      <c r="A1726">
        <v>51725</v>
      </c>
      <c r="B1726">
        <v>3145</v>
      </c>
      <c r="C1726">
        <v>2005</v>
      </c>
      <c r="D1726" s="7">
        <v>46063</v>
      </c>
      <c r="E1726" t="s">
        <v>204</v>
      </c>
      <c r="F1726" t="s">
        <v>202</v>
      </c>
      <c r="G1726">
        <v>10</v>
      </c>
      <c r="H1726" s="7">
        <v>46084</v>
      </c>
      <c r="I1726" t="s">
        <v>211</v>
      </c>
    </row>
    <row r="1727" spans="1:9">
      <c r="A1727">
        <v>51726</v>
      </c>
      <c r="B1727">
        <v>3145</v>
      </c>
      <c r="C1727">
        <v>2005</v>
      </c>
      <c r="D1727" s="7">
        <v>46072</v>
      </c>
      <c r="E1727" t="s">
        <v>204</v>
      </c>
      <c r="F1727" t="s">
        <v>213</v>
      </c>
      <c r="H1727" s="7">
        <v>46079</v>
      </c>
      <c r="I1727" t="s">
        <v>206</v>
      </c>
    </row>
    <row r="1728" spans="1:9">
      <c r="A1728">
        <v>51727</v>
      </c>
      <c r="B1728">
        <v>3145</v>
      </c>
      <c r="C1728">
        <v>2005</v>
      </c>
      <c r="D1728" s="7">
        <v>46074</v>
      </c>
      <c r="E1728" t="s">
        <v>210</v>
      </c>
      <c r="F1728" t="s">
        <v>213</v>
      </c>
      <c r="H1728" s="7">
        <v>46081</v>
      </c>
      <c r="I1728" t="s">
        <v>207</v>
      </c>
    </row>
    <row r="1729" spans="1:9">
      <c r="A1729">
        <v>51728</v>
      </c>
      <c r="B1729">
        <v>3145</v>
      </c>
      <c r="C1729">
        <v>2005</v>
      </c>
      <c r="D1729" s="7">
        <v>46155</v>
      </c>
      <c r="E1729" t="s">
        <v>219</v>
      </c>
      <c r="F1729" t="s">
        <v>205</v>
      </c>
      <c r="H1729" s="7"/>
      <c r="I1729" t="s">
        <v>206</v>
      </c>
    </row>
    <row r="1730" spans="1:9">
      <c r="A1730">
        <v>51729</v>
      </c>
      <c r="B1730">
        <v>3145</v>
      </c>
      <c r="C1730">
        <v>2005</v>
      </c>
      <c r="D1730" s="7">
        <v>46157</v>
      </c>
      <c r="E1730" t="s">
        <v>204</v>
      </c>
      <c r="F1730" t="s">
        <v>218</v>
      </c>
      <c r="H1730" s="7"/>
      <c r="I1730" t="s">
        <v>206</v>
      </c>
    </row>
    <row r="1731" spans="1:9">
      <c r="A1731">
        <v>51730</v>
      </c>
      <c r="B1731">
        <v>3145</v>
      </c>
      <c r="C1731">
        <v>2005</v>
      </c>
      <c r="D1731" s="7">
        <v>46161</v>
      </c>
      <c r="E1731" t="s">
        <v>212</v>
      </c>
      <c r="F1731" t="s">
        <v>202</v>
      </c>
      <c r="G1731">
        <v>90</v>
      </c>
      <c r="H1731" s="7">
        <v>46175</v>
      </c>
      <c r="I1731" t="s">
        <v>203</v>
      </c>
    </row>
    <row r="1732" spans="1:9">
      <c r="A1732">
        <v>51731</v>
      </c>
      <c r="B1732">
        <v>3145</v>
      </c>
      <c r="C1732">
        <v>2005</v>
      </c>
      <c r="D1732" s="7">
        <v>46163</v>
      </c>
      <c r="E1732" t="s">
        <v>204</v>
      </c>
      <c r="F1732" t="s">
        <v>215</v>
      </c>
      <c r="G1732">
        <v>45</v>
      </c>
      <c r="H1732" s="7">
        <v>46170</v>
      </c>
      <c r="I1732" t="s">
        <v>203</v>
      </c>
    </row>
    <row r="1733" spans="1:9">
      <c r="A1733">
        <v>51732</v>
      </c>
      <c r="B1733">
        <v>3145</v>
      </c>
      <c r="C1733">
        <v>2005</v>
      </c>
      <c r="D1733" s="7">
        <v>46185</v>
      </c>
      <c r="E1733" t="s">
        <v>212</v>
      </c>
      <c r="F1733" t="s">
        <v>202</v>
      </c>
      <c r="G1733">
        <v>30</v>
      </c>
      <c r="H1733" s="7">
        <v>46199</v>
      </c>
      <c r="I1733" t="s">
        <v>203</v>
      </c>
    </row>
    <row r="1734" spans="1:9">
      <c r="A1734">
        <v>51733</v>
      </c>
      <c r="B1734">
        <v>3145</v>
      </c>
      <c r="C1734">
        <v>2005</v>
      </c>
      <c r="D1734" s="7">
        <v>46209</v>
      </c>
      <c r="E1734" t="s">
        <v>219</v>
      </c>
      <c r="F1734" t="s">
        <v>202</v>
      </c>
      <c r="G1734">
        <v>10</v>
      </c>
      <c r="H1734" s="7"/>
      <c r="I1734" t="s">
        <v>207</v>
      </c>
    </row>
    <row r="1735" spans="1:9">
      <c r="A1735">
        <v>51734</v>
      </c>
      <c r="B1735">
        <v>3145</v>
      </c>
      <c r="C1735">
        <v>2005</v>
      </c>
      <c r="D1735" s="7">
        <v>46211</v>
      </c>
      <c r="E1735" t="s">
        <v>212</v>
      </c>
      <c r="F1735" t="s">
        <v>202</v>
      </c>
      <c r="G1735">
        <v>45</v>
      </c>
      <c r="H1735" s="7"/>
      <c r="I1735" t="s">
        <v>217</v>
      </c>
    </row>
    <row r="1736" spans="1:9">
      <c r="A1736">
        <v>51735</v>
      </c>
      <c r="B1736">
        <v>3146</v>
      </c>
      <c r="C1736">
        <v>2002</v>
      </c>
      <c r="D1736" s="7">
        <v>45677</v>
      </c>
      <c r="E1736" t="s">
        <v>204</v>
      </c>
      <c r="F1736" t="s">
        <v>218</v>
      </c>
      <c r="H1736" s="7"/>
      <c r="I1736" t="s">
        <v>216</v>
      </c>
    </row>
    <row r="1737" spans="1:9">
      <c r="A1737">
        <v>51736</v>
      </c>
      <c r="B1737">
        <v>3146</v>
      </c>
      <c r="C1737">
        <v>2002</v>
      </c>
      <c r="D1737" s="7">
        <v>45685</v>
      </c>
      <c r="E1737" t="s">
        <v>204</v>
      </c>
      <c r="F1737" t="s">
        <v>202</v>
      </c>
      <c r="G1737">
        <v>30</v>
      </c>
      <c r="H1737" s="7">
        <v>45715</v>
      </c>
      <c r="I1737" t="s">
        <v>211</v>
      </c>
    </row>
    <row r="1738" spans="1:9">
      <c r="A1738">
        <v>51737</v>
      </c>
      <c r="B1738">
        <v>3146</v>
      </c>
      <c r="C1738">
        <v>2002</v>
      </c>
      <c r="D1738" s="7">
        <v>45686</v>
      </c>
      <c r="E1738" t="s">
        <v>210</v>
      </c>
      <c r="F1738" t="s">
        <v>214</v>
      </c>
      <c r="H1738" s="7">
        <v>45707</v>
      </c>
      <c r="I1738" t="s">
        <v>217</v>
      </c>
    </row>
    <row r="1739" spans="1:9">
      <c r="A1739">
        <v>51738</v>
      </c>
      <c r="B1739">
        <v>3146</v>
      </c>
      <c r="C1739">
        <v>2002</v>
      </c>
      <c r="D1739" s="7">
        <v>45717</v>
      </c>
      <c r="E1739" t="s">
        <v>212</v>
      </c>
      <c r="F1739" t="s">
        <v>202</v>
      </c>
      <c r="G1739">
        <v>45</v>
      </c>
      <c r="H1739" s="7">
        <v>45720</v>
      </c>
      <c r="I1739" t="s">
        <v>206</v>
      </c>
    </row>
    <row r="1740" spans="1:9">
      <c r="A1740">
        <v>51739</v>
      </c>
      <c r="B1740">
        <v>3146</v>
      </c>
      <c r="C1740">
        <v>2002</v>
      </c>
      <c r="D1740" s="7">
        <v>45770</v>
      </c>
      <c r="E1740" t="s">
        <v>212</v>
      </c>
      <c r="F1740" t="s">
        <v>202</v>
      </c>
      <c r="G1740">
        <v>60</v>
      </c>
      <c r="H1740" s="7">
        <v>45791</v>
      </c>
      <c r="I1740" t="s">
        <v>217</v>
      </c>
    </row>
    <row r="1741" spans="1:9">
      <c r="A1741">
        <v>51740</v>
      </c>
      <c r="B1741">
        <v>3146</v>
      </c>
      <c r="C1741">
        <v>2002</v>
      </c>
      <c r="D1741" s="7">
        <v>45794</v>
      </c>
      <c r="E1741" t="s">
        <v>219</v>
      </c>
      <c r="F1741" t="s">
        <v>202</v>
      </c>
      <c r="G1741">
        <v>90</v>
      </c>
      <c r="H1741" s="7">
        <v>45815</v>
      </c>
      <c r="I1741" t="s">
        <v>209</v>
      </c>
    </row>
    <row r="1742" spans="1:9">
      <c r="A1742">
        <v>51741</v>
      </c>
      <c r="B1742">
        <v>3146</v>
      </c>
      <c r="C1742">
        <v>2002</v>
      </c>
      <c r="D1742" s="7">
        <v>45850</v>
      </c>
      <c r="E1742" t="s">
        <v>212</v>
      </c>
      <c r="F1742" t="s">
        <v>202</v>
      </c>
      <c r="G1742">
        <v>20</v>
      </c>
      <c r="H1742" s="7">
        <v>45880</v>
      </c>
      <c r="I1742" t="s">
        <v>203</v>
      </c>
    </row>
    <row r="1743" spans="1:9">
      <c r="A1743">
        <v>51742</v>
      </c>
      <c r="B1743">
        <v>3146</v>
      </c>
      <c r="C1743">
        <v>2002</v>
      </c>
      <c r="D1743" s="7">
        <v>45859</v>
      </c>
      <c r="E1743" t="s">
        <v>201</v>
      </c>
      <c r="F1743" t="s">
        <v>215</v>
      </c>
      <c r="G1743">
        <v>45</v>
      </c>
      <c r="H1743" s="7">
        <v>45866</v>
      </c>
      <c r="I1743" t="s">
        <v>217</v>
      </c>
    </row>
    <row r="1744" spans="1:9">
      <c r="A1744">
        <v>51743</v>
      </c>
      <c r="B1744">
        <v>3146</v>
      </c>
      <c r="C1744">
        <v>2002</v>
      </c>
      <c r="D1744" s="7">
        <v>45888</v>
      </c>
      <c r="E1744" t="s">
        <v>219</v>
      </c>
      <c r="F1744" t="s">
        <v>202</v>
      </c>
      <c r="G1744">
        <v>45</v>
      </c>
      <c r="H1744" s="7">
        <v>45918</v>
      </c>
      <c r="I1744" t="s">
        <v>203</v>
      </c>
    </row>
    <row r="1745" spans="1:9">
      <c r="A1745">
        <v>51744</v>
      </c>
      <c r="B1745">
        <v>3146</v>
      </c>
      <c r="C1745">
        <v>2002</v>
      </c>
      <c r="D1745" s="7">
        <v>45946</v>
      </c>
      <c r="E1745" t="s">
        <v>208</v>
      </c>
      <c r="F1745" t="s">
        <v>214</v>
      </c>
      <c r="H1745" s="7">
        <v>45949</v>
      </c>
      <c r="I1745" t="s">
        <v>211</v>
      </c>
    </row>
    <row r="1746" spans="1:9">
      <c r="A1746">
        <v>51745</v>
      </c>
      <c r="B1746">
        <v>3146</v>
      </c>
      <c r="C1746">
        <v>2002</v>
      </c>
      <c r="D1746" s="7">
        <v>45973</v>
      </c>
      <c r="E1746" t="s">
        <v>212</v>
      </c>
      <c r="F1746" t="s">
        <v>214</v>
      </c>
      <c r="H1746" s="7">
        <v>45980</v>
      </c>
      <c r="I1746" t="s">
        <v>206</v>
      </c>
    </row>
    <row r="1747" spans="1:9">
      <c r="A1747">
        <v>51746</v>
      </c>
      <c r="B1747">
        <v>3146</v>
      </c>
      <c r="C1747">
        <v>2002</v>
      </c>
      <c r="D1747" s="7">
        <v>45988</v>
      </c>
      <c r="E1747" t="s">
        <v>212</v>
      </c>
      <c r="F1747" t="s">
        <v>202</v>
      </c>
      <c r="G1747">
        <v>45</v>
      </c>
      <c r="H1747" s="7">
        <v>45991</v>
      </c>
      <c r="I1747" t="s">
        <v>216</v>
      </c>
    </row>
    <row r="1748" spans="1:9">
      <c r="A1748">
        <v>51747</v>
      </c>
      <c r="B1748">
        <v>3146</v>
      </c>
      <c r="C1748">
        <v>2002</v>
      </c>
      <c r="D1748" s="7">
        <v>46017</v>
      </c>
      <c r="E1748" t="s">
        <v>210</v>
      </c>
      <c r="F1748" t="s">
        <v>213</v>
      </c>
      <c r="H1748" s="7">
        <v>46031</v>
      </c>
      <c r="I1748" t="s">
        <v>211</v>
      </c>
    </row>
    <row r="1749" spans="1:9">
      <c r="A1749">
        <v>51748</v>
      </c>
      <c r="B1749">
        <v>3146</v>
      </c>
      <c r="C1749">
        <v>2002</v>
      </c>
      <c r="D1749" s="7">
        <v>46102</v>
      </c>
      <c r="E1749" t="s">
        <v>201</v>
      </c>
      <c r="F1749" t="s">
        <v>202</v>
      </c>
      <c r="G1749">
        <v>90</v>
      </c>
      <c r="H1749" s="7">
        <v>46116</v>
      </c>
      <c r="I1749" t="s">
        <v>207</v>
      </c>
    </row>
    <row r="1750" spans="1:9">
      <c r="A1750">
        <v>51749</v>
      </c>
      <c r="B1750">
        <v>3146</v>
      </c>
      <c r="C1750">
        <v>2002</v>
      </c>
      <c r="D1750" s="7">
        <v>46196</v>
      </c>
      <c r="E1750" t="s">
        <v>210</v>
      </c>
      <c r="F1750" t="s">
        <v>218</v>
      </c>
      <c r="H1750" s="7"/>
      <c r="I1750" t="s">
        <v>211</v>
      </c>
    </row>
    <row r="1751" spans="1:9">
      <c r="A1751">
        <v>51750</v>
      </c>
      <c r="B1751">
        <v>3147</v>
      </c>
      <c r="C1751">
        <v>2006</v>
      </c>
      <c r="D1751" s="7">
        <v>46011</v>
      </c>
      <c r="E1751" t="s">
        <v>208</v>
      </c>
      <c r="F1751" t="s">
        <v>202</v>
      </c>
      <c r="G1751">
        <v>60</v>
      </c>
      <c r="H1751" s="7">
        <v>46014</v>
      </c>
      <c r="I1751" t="s">
        <v>216</v>
      </c>
    </row>
    <row r="1752" spans="1:9">
      <c r="A1752">
        <v>51751</v>
      </c>
      <c r="B1752">
        <v>3147</v>
      </c>
      <c r="C1752">
        <v>2006</v>
      </c>
      <c r="D1752" s="7">
        <v>46070</v>
      </c>
      <c r="E1752" t="s">
        <v>212</v>
      </c>
      <c r="F1752" t="s">
        <v>202</v>
      </c>
      <c r="G1752">
        <v>60</v>
      </c>
      <c r="H1752" s="7">
        <v>46091</v>
      </c>
      <c r="I1752" t="s">
        <v>209</v>
      </c>
    </row>
    <row r="1753" spans="1:9">
      <c r="A1753">
        <v>51752</v>
      </c>
      <c r="B1753">
        <v>3147</v>
      </c>
      <c r="C1753">
        <v>2006</v>
      </c>
      <c r="D1753" s="7">
        <v>46099</v>
      </c>
      <c r="E1753" t="s">
        <v>210</v>
      </c>
      <c r="F1753" t="s">
        <v>218</v>
      </c>
      <c r="H1753" s="7"/>
      <c r="I1753" t="s">
        <v>216</v>
      </c>
    </row>
    <row r="1754" spans="1:9">
      <c r="A1754">
        <v>51753</v>
      </c>
      <c r="B1754">
        <v>3147</v>
      </c>
      <c r="C1754">
        <v>2006</v>
      </c>
      <c r="D1754" s="7">
        <v>46101</v>
      </c>
      <c r="E1754" t="s">
        <v>210</v>
      </c>
      <c r="F1754" t="s">
        <v>214</v>
      </c>
      <c r="H1754" s="7">
        <v>46122</v>
      </c>
      <c r="I1754" t="s">
        <v>206</v>
      </c>
    </row>
    <row r="1755" spans="1:9">
      <c r="A1755">
        <v>51754</v>
      </c>
      <c r="B1755">
        <v>3147</v>
      </c>
      <c r="C1755">
        <v>2006</v>
      </c>
      <c r="D1755" s="7">
        <v>46115</v>
      </c>
      <c r="E1755" t="s">
        <v>219</v>
      </c>
      <c r="F1755" t="s">
        <v>202</v>
      </c>
      <c r="G1755">
        <v>45</v>
      </c>
      <c r="H1755" s="7">
        <v>46129</v>
      </c>
      <c r="I1755" t="s">
        <v>207</v>
      </c>
    </row>
    <row r="1756" spans="1:9">
      <c r="A1756">
        <v>51755</v>
      </c>
      <c r="B1756">
        <v>3147</v>
      </c>
      <c r="C1756">
        <v>2006</v>
      </c>
      <c r="D1756" s="7">
        <v>46132</v>
      </c>
      <c r="E1756" t="s">
        <v>210</v>
      </c>
      <c r="F1756" t="s">
        <v>215</v>
      </c>
      <c r="G1756">
        <v>90</v>
      </c>
      <c r="H1756" s="7">
        <v>46135</v>
      </c>
      <c r="I1756" t="s">
        <v>209</v>
      </c>
    </row>
    <row r="1757" spans="1:9">
      <c r="A1757">
        <v>51756</v>
      </c>
      <c r="B1757">
        <v>3147</v>
      </c>
      <c r="C1757">
        <v>2006</v>
      </c>
      <c r="D1757" s="7">
        <v>46165</v>
      </c>
      <c r="E1757" t="s">
        <v>201</v>
      </c>
      <c r="F1757" t="s">
        <v>205</v>
      </c>
      <c r="H1757" s="7"/>
      <c r="I1757" t="s">
        <v>207</v>
      </c>
    </row>
    <row r="1758" spans="1:9">
      <c r="A1758">
        <v>51757</v>
      </c>
      <c r="B1758">
        <v>3147</v>
      </c>
      <c r="C1758">
        <v>2006</v>
      </c>
      <c r="D1758" s="7">
        <v>46174</v>
      </c>
      <c r="E1758" t="s">
        <v>219</v>
      </c>
      <c r="F1758" t="s">
        <v>202</v>
      </c>
      <c r="G1758">
        <v>10</v>
      </c>
      <c r="H1758" s="7">
        <v>46188</v>
      </c>
      <c r="I1758" t="s">
        <v>216</v>
      </c>
    </row>
    <row r="1759" spans="1:9">
      <c r="A1759">
        <v>51758</v>
      </c>
      <c r="B1759">
        <v>3148</v>
      </c>
      <c r="C1759">
        <v>2017</v>
      </c>
      <c r="D1759" s="7">
        <v>45967</v>
      </c>
      <c r="E1759" t="s">
        <v>219</v>
      </c>
      <c r="F1759" t="s">
        <v>215</v>
      </c>
      <c r="G1759">
        <v>60</v>
      </c>
      <c r="H1759" s="7">
        <v>45974</v>
      </c>
      <c r="I1759" t="s">
        <v>206</v>
      </c>
    </row>
    <row r="1760" spans="1:9">
      <c r="A1760">
        <v>51759</v>
      </c>
      <c r="B1760">
        <v>3148</v>
      </c>
      <c r="C1760">
        <v>2017</v>
      </c>
      <c r="D1760" s="7">
        <v>45971</v>
      </c>
      <c r="E1760" t="s">
        <v>210</v>
      </c>
      <c r="F1760" t="s">
        <v>214</v>
      </c>
      <c r="H1760" s="7">
        <v>46001</v>
      </c>
      <c r="I1760" t="s">
        <v>207</v>
      </c>
    </row>
    <row r="1761" spans="1:9">
      <c r="A1761">
        <v>51760</v>
      </c>
      <c r="B1761">
        <v>3148</v>
      </c>
      <c r="C1761">
        <v>2017</v>
      </c>
      <c r="D1761" s="7">
        <v>45976</v>
      </c>
      <c r="E1761" t="s">
        <v>210</v>
      </c>
      <c r="F1761" t="s">
        <v>218</v>
      </c>
      <c r="H1761" s="7"/>
      <c r="I1761" t="s">
        <v>211</v>
      </c>
    </row>
    <row r="1762" spans="1:9">
      <c r="A1762">
        <v>51761</v>
      </c>
      <c r="B1762">
        <v>3148</v>
      </c>
      <c r="C1762">
        <v>2017</v>
      </c>
      <c r="D1762" s="7">
        <v>46004</v>
      </c>
      <c r="E1762" t="s">
        <v>204</v>
      </c>
      <c r="F1762" t="s">
        <v>215</v>
      </c>
      <c r="G1762">
        <v>20</v>
      </c>
      <c r="H1762" s="7">
        <v>46018</v>
      </c>
      <c r="I1762" t="s">
        <v>207</v>
      </c>
    </row>
    <row r="1763" spans="1:9">
      <c r="A1763">
        <v>51762</v>
      </c>
      <c r="B1763">
        <v>3148</v>
      </c>
      <c r="C1763">
        <v>2017</v>
      </c>
      <c r="D1763" s="7">
        <v>46013</v>
      </c>
      <c r="E1763" t="s">
        <v>201</v>
      </c>
      <c r="F1763" t="s">
        <v>202</v>
      </c>
      <c r="G1763">
        <v>10</v>
      </c>
      <c r="H1763" s="7">
        <v>46027</v>
      </c>
      <c r="I1763" t="s">
        <v>216</v>
      </c>
    </row>
    <row r="1764" spans="1:9">
      <c r="A1764">
        <v>51763</v>
      </c>
      <c r="B1764">
        <v>3148</v>
      </c>
      <c r="C1764">
        <v>2017</v>
      </c>
      <c r="D1764" s="7">
        <v>46029</v>
      </c>
      <c r="E1764" t="s">
        <v>204</v>
      </c>
      <c r="F1764" t="s">
        <v>202</v>
      </c>
      <c r="G1764">
        <v>15</v>
      </c>
      <c r="H1764" s="7">
        <v>46036</v>
      </c>
      <c r="I1764" t="s">
        <v>207</v>
      </c>
    </row>
    <row r="1765" spans="1:9">
      <c r="A1765">
        <v>51764</v>
      </c>
      <c r="B1765">
        <v>3148</v>
      </c>
      <c r="C1765">
        <v>2017</v>
      </c>
      <c r="D1765" s="7">
        <v>46041</v>
      </c>
      <c r="E1765" t="s">
        <v>201</v>
      </c>
      <c r="F1765" t="s">
        <v>202</v>
      </c>
      <c r="G1765">
        <v>10</v>
      </c>
      <c r="H1765" s="7">
        <v>46071</v>
      </c>
      <c r="I1765" t="s">
        <v>207</v>
      </c>
    </row>
    <row r="1766" spans="1:9">
      <c r="A1766">
        <v>51765</v>
      </c>
      <c r="B1766">
        <v>3148</v>
      </c>
      <c r="C1766">
        <v>2017</v>
      </c>
      <c r="D1766" s="7">
        <v>46066</v>
      </c>
      <c r="E1766" t="s">
        <v>212</v>
      </c>
      <c r="F1766" t="s">
        <v>214</v>
      </c>
      <c r="H1766" s="7">
        <v>46096</v>
      </c>
      <c r="I1766" t="s">
        <v>207</v>
      </c>
    </row>
    <row r="1767" spans="1:9">
      <c r="A1767">
        <v>51766</v>
      </c>
      <c r="B1767">
        <v>3148</v>
      </c>
      <c r="C1767">
        <v>2017</v>
      </c>
      <c r="D1767" s="7">
        <v>46069</v>
      </c>
      <c r="E1767" t="s">
        <v>212</v>
      </c>
      <c r="F1767" t="s">
        <v>202</v>
      </c>
      <c r="G1767">
        <v>30</v>
      </c>
      <c r="H1767" s="7">
        <v>46090</v>
      </c>
      <c r="I1767" t="s">
        <v>211</v>
      </c>
    </row>
    <row r="1768" spans="1:9">
      <c r="A1768">
        <v>51767</v>
      </c>
      <c r="B1768">
        <v>3148</v>
      </c>
      <c r="C1768">
        <v>2017</v>
      </c>
      <c r="D1768" s="7">
        <v>46109</v>
      </c>
      <c r="E1768" t="s">
        <v>204</v>
      </c>
      <c r="F1768" t="s">
        <v>202</v>
      </c>
      <c r="G1768">
        <v>60</v>
      </c>
      <c r="H1768" s="7">
        <v>46123</v>
      </c>
      <c r="I1768" t="s">
        <v>207</v>
      </c>
    </row>
    <row r="1769" spans="1:9">
      <c r="A1769">
        <v>51768</v>
      </c>
      <c r="B1769">
        <v>3148</v>
      </c>
      <c r="C1769">
        <v>2017</v>
      </c>
      <c r="D1769" s="7">
        <v>46113</v>
      </c>
      <c r="E1769" t="s">
        <v>212</v>
      </c>
      <c r="F1769" t="s">
        <v>202</v>
      </c>
      <c r="G1769">
        <v>20</v>
      </c>
      <c r="H1769" s="7">
        <v>46143</v>
      </c>
      <c r="I1769" t="s">
        <v>211</v>
      </c>
    </row>
    <row r="1770" spans="1:9">
      <c r="A1770">
        <v>51769</v>
      </c>
      <c r="B1770">
        <v>3148</v>
      </c>
      <c r="C1770">
        <v>2017</v>
      </c>
      <c r="D1770" s="7">
        <v>46119</v>
      </c>
      <c r="E1770" t="s">
        <v>212</v>
      </c>
      <c r="F1770" t="s">
        <v>215</v>
      </c>
      <c r="G1770">
        <v>30</v>
      </c>
      <c r="H1770" s="7">
        <v>46122</v>
      </c>
      <c r="I1770" t="s">
        <v>207</v>
      </c>
    </row>
    <row r="1771" spans="1:9">
      <c r="A1771">
        <v>51770</v>
      </c>
      <c r="B1771">
        <v>3148</v>
      </c>
      <c r="C1771">
        <v>2017</v>
      </c>
      <c r="D1771" s="7">
        <v>46165</v>
      </c>
      <c r="E1771" t="s">
        <v>204</v>
      </c>
      <c r="F1771" t="s">
        <v>205</v>
      </c>
      <c r="H1771" s="7"/>
      <c r="I1771" t="s">
        <v>207</v>
      </c>
    </row>
    <row r="1772" spans="1:9">
      <c r="A1772">
        <v>51771</v>
      </c>
      <c r="B1772">
        <v>3148</v>
      </c>
      <c r="C1772">
        <v>2017</v>
      </c>
      <c r="D1772" s="7">
        <v>46185</v>
      </c>
      <c r="E1772" t="s">
        <v>219</v>
      </c>
      <c r="F1772" t="s">
        <v>215</v>
      </c>
      <c r="G1772">
        <v>10</v>
      </c>
      <c r="H1772" s="7">
        <v>46206</v>
      </c>
      <c r="I1772" t="s">
        <v>216</v>
      </c>
    </row>
    <row r="1773" spans="1:9">
      <c r="A1773">
        <v>51772</v>
      </c>
      <c r="B1773">
        <v>3149</v>
      </c>
      <c r="C1773">
        <v>2007</v>
      </c>
      <c r="D1773" s="7">
        <v>45427</v>
      </c>
      <c r="E1773" t="s">
        <v>212</v>
      </c>
      <c r="F1773" t="s">
        <v>214</v>
      </c>
      <c r="H1773" s="7">
        <v>45448</v>
      </c>
      <c r="I1773" t="s">
        <v>211</v>
      </c>
    </row>
    <row r="1774" spans="1:9">
      <c r="A1774">
        <v>51773</v>
      </c>
      <c r="B1774">
        <v>3149</v>
      </c>
      <c r="C1774">
        <v>2007</v>
      </c>
      <c r="D1774" s="7">
        <v>45602</v>
      </c>
      <c r="E1774" t="s">
        <v>201</v>
      </c>
      <c r="F1774" t="s">
        <v>202</v>
      </c>
      <c r="G1774">
        <v>20</v>
      </c>
      <c r="H1774" s="7">
        <v>45623</v>
      </c>
      <c r="I1774" t="s">
        <v>207</v>
      </c>
    </row>
    <row r="1775" spans="1:9">
      <c r="A1775">
        <v>51774</v>
      </c>
      <c r="B1775">
        <v>3149</v>
      </c>
      <c r="C1775">
        <v>2007</v>
      </c>
      <c r="D1775" s="7">
        <v>45639</v>
      </c>
      <c r="E1775" t="s">
        <v>212</v>
      </c>
      <c r="F1775" t="s">
        <v>213</v>
      </c>
      <c r="H1775" s="7">
        <v>45646</v>
      </c>
      <c r="I1775" t="s">
        <v>216</v>
      </c>
    </row>
    <row r="1776" spans="1:9">
      <c r="A1776">
        <v>51775</v>
      </c>
      <c r="B1776">
        <v>3149</v>
      </c>
      <c r="C1776">
        <v>2007</v>
      </c>
      <c r="D1776" s="7">
        <v>45774</v>
      </c>
      <c r="E1776" t="s">
        <v>201</v>
      </c>
      <c r="F1776" t="s">
        <v>213</v>
      </c>
      <c r="H1776" s="7">
        <v>45781</v>
      </c>
      <c r="I1776" t="s">
        <v>207</v>
      </c>
    </row>
    <row r="1777" spans="1:9">
      <c r="A1777">
        <v>51776</v>
      </c>
      <c r="B1777">
        <v>3149</v>
      </c>
      <c r="C1777">
        <v>2007</v>
      </c>
      <c r="D1777" s="7">
        <v>45802</v>
      </c>
      <c r="E1777" t="s">
        <v>204</v>
      </c>
      <c r="F1777" t="s">
        <v>214</v>
      </c>
      <c r="H1777" s="7">
        <v>45823</v>
      </c>
      <c r="I1777" t="s">
        <v>216</v>
      </c>
    </row>
    <row r="1778" spans="1:9">
      <c r="A1778">
        <v>51777</v>
      </c>
      <c r="B1778">
        <v>3149</v>
      </c>
      <c r="C1778">
        <v>2007</v>
      </c>
      <c r="D1778" s="7">
        <v>45876</v>
      </c>
      <c r="E1778" t="s">
        <v>210</v>
      </c>
      <c r="F1778" t="s">
        <v>214</v>
      </c>
      <c r="H1778" s="7">
        <v>45906</v>
      </c>
      <c r="I1778" t="s">
        <v>209</v>
      </c>
    </row>
    <row r="1779" spans="1:9">
      <c r="A1779">
        <v>51778</v>
      </c>
      <c r="B1779">
        <v>3149</v>
      </c>
      <c r="C1779">
        <v>2007</v>
      </c>
      <c r="D1779" s="7">
        <v>46024</v>
      </c>
      <c r="E1779" t="s">
        <v>212</v>
      </c>
      <c r="F1779" t="s">
        <v>213</v>
      </c>
      <c r="H1779" s="7">
        <v>46054</v>
      </c>
      <c r="I1779" t="s">
        <v>209</v>
      </c>
    </row>
    <row r="1780" spans="1:9">
      <c r="A1780">
        <v>51779</v>
      </c>
      <c r="B1780">
        <v>3150</v>
      </c>
      <c r="C1780">
        <v>2015</v>
      </c>
      <c r="D1780" s="7">
        <v>45373</v>
      </c>
      <c r="E1780" t="s">
        <v>201</v>
      </c>
      <c r="F1780" t="s">
        <v>202</v>
      </c>
      <c r="G1780">
        <v>30</v>
      </c>
      <c r="H1780" s="7">
        <v>45387</v>
      </c>
      <c r="I1780" t="s">
        <v>207</v>
      </c>
    </row>
    <row r="1781" spans="1:9">
      <c r="A1781">
        <v>51780</v>
      </c>
      <c r="B1781">
        <v>3150</v>
      </c>
      <c r="C1781">
        <v>2015</v>
      </c>
      <c r="D1781" s="7">
        <v>45376</v>
      </c>
      <c r="E1781" t="s">
        <v>212</v>
      </c>
      <c r="F1781" t="s">
        <v>215</v>
      </c>
      <c r="G1781">
        <v>45</v>
      </c>
      <c r="H1781" s="7">
        <v>45390</v>
      </c>
      <c r="I1781" t="s">
        <v>217</v>
      </c>
    </row>
    <row r="1782" spans="1:9">
      <c r="A1782">
        <v>51781</v>
      </c>
      <c r="B1782">
        <v>3150</v>
      </c>
      <c r="C1782">
        <v>2015</v>
      </c>
      <c r="D1782" s="7">
        <v>45385</v>
      </c>
      <c r="E1782" t="s">
        <v>210</v>
      </c>
      <c r="F1782" t="s">
        <v>213</v>
      </c>
      <c r="H1782" s="7">
        <v>45406</v>
      </c>
      <c r="I1782" t="s">
        <v>209</v>
      </c>
    </row>
    <row r="1783" spans="1:9">
      <c r="A1783">
        <v>51782</v>
      </c>
      <c r="B1783">
        <v>3150</v>
      </c>
      <c r="C1783">
        <v>2015</v>
      </c>
      <c r="D1783" s="7">
        <v>45416</v>
      </c>
      <c r="E1783" t="s">
        <v>212</v>
      </c>
      <c r="F1783" t="s">
        <v>213</v>
      </c>
      <c r="H1783" s="7">
        <v>45430</v>
      </c>
      <c r="I1783" t="s">
        <v>216</v>
      </c>
    </row>
    <row r="1784" spans="1:9">
      <c r="A1784">
        <v>51783</v>
      </c>
      <c r="B1784">
        <v>3150</v>
      </c>
      <c r="C1784">
        <v>2015</v>
      </c>
      <c r="D1784" s="7">
        <v>45424</v>
      </c>
      <c r="E1784" t="s">
        <v>201</v>
      </c>
      <c r="F1784" t="s">
        <v>202</v>
      </c>
      <c r="G1784">
        <v>60</v>
      </c>
      <c r="H1784" s="7">
        <v>45454</v>
      </c>
      <c r="I1784" t="s">
        <v>211</v>
      </c>
    </row>
    <row r="1785" spans="1:9">
      <c r="A1785">
        <v>51784</v>
      </c>
      <c r="B1785">
        <v>3150</v>
      </c>
      <c r="C1785">
        <v>2015</v>
      </c>
      <c r="D1785" s="7">
        <v>45503</v>
      </c>
      <c r="E1785" t="s">
        <v>204</v>
      </c>
      <c r="F1785" t="s">
        <v>202</v>
      </c>
      <c r="G1785">
        <v>60</v>
      </c>
      <c r="H1785" s="7">
        <v>45506</v>
      </c>
      <c r="I1785" t="s">
        <v>217</v>
      </c>
    </row>
    <row r="1786" spans="1:9">
      <c r="A1786">
        <v>51785</v>
      </c>
      <c r="B1786">
        <v>3150</v>
      </c>
      <c r="C1786">
        <v>2015</v>
      </c>
      <c r="D1786" s="7">
        <v>45612</v>
      </c>
      <c r="E1786" t="s">
        <v>204</v>
      </c>
      <c r="F1786" t="s">
        <v>215</v>
      </c>
      <c r="G1786">
        <v>30</v>
      </c>
      <c r="H1786" s="7">
        <v>45633</v>
      </c>
      <c r="I1786" t="s">
        <v>217</v>
      </c>
    </row>
    <row r="1787" spans="1:9">
      <c r="A1787">
        <v>51786</v>
      </c>
      <c r="B1787">
        <v>3150</v>
      </c>
      <c r="C1787">
        <v>2015</v>
      </c>
      <c r="D1787" s="7">
        <v>45655</v>
      </c>
      <c r="E1787" t="s">
        <v>210</v>
      </c>
      <c r="F1787" t="s">
        <v>214</v>
      </c>
      <c r="H1787" s="7">
        <v>45676</v>
      </c>
      <c r="I1787" t="s">
        <v>207</v>
      </c>
    </row>
    <row r="1788" spans="1:9">
      <c r="A1788">
        <v>51787</v>
      </c>
      <c r="B1788">
        <v>3150</v>
      </c>
      <c r="C1788">
        <v>2015</v>
      </c>
      <c r="D1788" s="7">
        <v>45671</v>
      </c>
      <c r="E1788" t="s">
        <v>204</v>
      </c>
      <c r="F1788" t="s">
        <v>202</v>
      </c>
      <c r="G1788">
        <v>20</v>
      </c>
      <c r="H1788" s="7">
        <v>45674</v>
      </c>
      <c r="I1788" t="s">
        <v>216</v>
      </c>
    </row>
    <row r="1789" spans="1:9">
      <c r="A1789">
        <v>51788</v>
      </c>
      <c r="B1789">
        <v>3150</v>
      </c>
      <c r="C1789">
        <v>2015</v>
      </c>
      <c r="D1789" s="7">
        <v>45881</v>
      </c>
      <c r="E1789" t="s">
        <v>212</v>
      </c>
      <c r="F1789" t="s">
        <v>202</v>
      </c>
      <c r="G1789">
        <v>60</v>
      </c>
      <c r="H1789" s="7">
        <v>45884</v>
      </c>
      <c r="I1789" t="s">
        <v>216</v>
      </c>
    </row>
    <row r="1790" spans="1:9">
      <c r="A1790">
        <v>51789</v>
      </c>
      <c r="B1790">
        <v>3150</v>
      </c>
      <c r="C1790">
        <v>2015</v>
      </c>
      <c r="D1790" s="7">
        <v>45931</v>
      </c>
      <c r="E1790" t="s">
        <v>210</v>
      </c>
      <c r="F1790" t="s">
        <v>218</v>
      </c>
      <c r="H1790" s="7"/>
      <c r="I1790" t="s">
        <v>203</v>
      </c>
    </row>
    <row r="1791" spans="1:9">
      <c r="A1791">
        <v>51790</v>
      </c>
      <c r="B1791">
        <v>3150</v>
      </c>
      <c r="C1791">
        <v>2015</v>
      </c>
      <c r="D1791" s="7">
        <v>45945</v>
      </c>
      <c r="E1791" t="s">
        <v>212</v>
      </c>
      <c r="F1791" t="s">
        <v>202</v>
      </c>
      <c r="G1791">
        <v>90</v>
      </c>
      <c r="H1791" s="7">
        <v>45966</v>
      </c>
      <c r="I1791" t="s">
        <v>217</v>
      </c>
    </row>
    <row r="1792" spans="1:9">
      <c r="A1792">
        <v>51791</v>
      </c>
      <c r="B1792">
        <v>3150</v>
      </c>
      <c r="C1792">
        <v>2015</v>
      </c>
      <c r="D1792" s="7">
        <v>46003</v>
      </c>
      <c r="E1792" t="s">
        <v>212</v>
      </c>
      <c r="F1792" t="s">
        <v>202</v>
      </c>
      <c r="G1792">
        <v>20</v>
      </c>
      <c r="H1792" s="7">
        <v>46006</v>
      </c>
      <c r="I1792" t="s">
        <v>211</v>
      </c>
    </row>
    <row r="1793" spans="1:9">
      <c r="A1793">
        <v>51792</v>
      </c>
      <c r="B1793">
        <v>3150</v>
      </c>
      <c r="C1793">
        <v>2015</v>
      </c>
      <c r="D1793" s="7">
        <v>46008</v>
      </c>
      <c r="E1793" t="s">
        <v>208</v>
      </c>
      <c r="F1793" t="s">
        <v>214</v>
      </c>
      <c r="H1793" s="7">
        <v>46038</v>
      </c>
      <c r="I1793" t="s">
        <v>203</v>
      </c>
    </row>
    <row r="1794" spans="1:9">
      <c r="A1794">
        <v>51793</v>
      </c>
      <c r="B1794">
        <v>3150</v>
      </c>
      <c r="C1794">
        <v>2015</v>
      </c>
      <c r="D1794" s="7">
        <v>46009</v>
      </c>
      <c r="E1794" t="s">
        <v>212</v>
      </c>
      <c r="F1794" t="s">
        <v>202</v>
      </c>
      <c r="G1794">
        <v>60</v>
      </c>
      <c r="H1794" s="7">
        <v>46016</v>
      </c>
      <c r="I1794" t="s">
        <v>216</v>
      </c>
    </row>
    <row r="1795" spans="1:9">
      <c r="A1795">
        <v>51794</v>
      </c>
      <c r="B1795">
        <v>3150</v>
      </c>
      <c r="C1795">
        <v>2015</v>
      </c>
      <c r="D1795" s="7">
        <v>46108</v>
      </c>
      <c r="E1795" t="s">
        <v>210</v>
      </c>
      <c r="F1795" t="s">
        <v>213</v>
      </c>
      <c r="H1795" s="7">
        <v>46111</v>
      </c>
      <c r="I1795" t="s">
        <v>207</v>
      </c>
    </row>
    <row r="1796" spans="1:9">
      <c r="A1796">
        <v>51795</v>
      </c>
      <c r="B1796">
        <v>3150</v>
      </c>
      <c r="C1796">
        <v>2015</v>
      </c>
      <c r="D1796" s="7">
        <v>46185</v>
      </c>
      <c r="E1796" t="s">
        <v>201</v>
      </c>
      <c r="F1796" t="s">
        <v>202</v>
      </c>
      <c r="G1796">
        <v>45</v>
      </c>
      <c r="H1796" s="7">
        <v>46188</v>
      </c>
      <c r="I1796" t="s">
        <v>203</v>
      </c>
    </row>
    <row r="1797" spans="1:9">
      <c r="A1797">
        <v>51796</v>
      </c>
      <c r="B1797">
        <v>3151</v>
      </c>
      <c r="C1797">
        <v>2011</v>
      </c>
      <c r="D1797" s="7">
        <v>45221</v>
      </c>
      <c r="E1797" t="s">
        <v>212</v>
      </c>
      <c r="F1797" t="s">
        <v>205</v>
      </c>
      <c r="H1797" s="7"/>
      <c r="I1797" t="s">
        <v>206</v>
      </c>
    </row>
    <row r="1798" spans="1:9">
      <c r="A1798">
        <v>51797</v>
      </c>
      <c r="B1798">
        <v>3151</v>
      </c>
      <c r="C1798">
        <v>2011</v>
      </c>
      <c r="D1798" s="7">
        <v>45233</v>
      </c>
      <c r="E1798" t="s">
        <v>219</v>
      </c>
      <c r="F1798" t="s">
        <v>214</v>
      </c>
      <c r="H1798" s="7">
        <v>45240</v>
      </c>
      <c r="I1798" t="s">
        <v>209</v>
      </c>
    </row>
    <row r="1799" spans="1:9">
      <c r="A1799">
        <v>51798</v>
      </c>
      <c r="B1799">
        <v>3151</v>
      </c>
      <c r="C1799">
        <v>2011</v>
      </c>
      <c r="D1799" s="7">
        <v>45417</v>
      </c>
      <c r="E1799" t="s">
        <v>219</v>
      </c>
      <c r="F1799" t="s">
        <v>215</v>
      </c>
      <c r="G1799">
        <v>10</v>
      </c>
      <c r="H1799" s="7">
        <v>45420</v>
      </c>
      <c r="I1799" t="s">
        <v>203</v>
      </c>
    </row>
    <row r="1800" spans="1:9">
      <c r="A1800">
        <v>51799</v>
      </c>
      <c r="B1800">
        <v>3151</v>
      </c>
      <c r="C1800">
        <v>2011</v>
      </c>
      <c r="D1800" s="7">
        <v>45656</v>
      </c>
      <c r="E1800" t="s">
        <v>204</v>
      </c>
      <c r="F1800" t="s">
        <v>202</v>
      </c>
      <c r="G1800">
        <v>10</v>
      </c>
      <c r="H1800" s="7">
        <v>45659</v>
      </c>
      <c r="I1800" t="s">
        <v>216</v>
      </c>
    </row>
    <row r="1801" spans="1:9">
      <c r="A1801">
        <v>51800</v>
      </c>
      <c r="B1801">
        <v>3151</v>
      </c>
      <c r="C1801">
        <v>2011</v>
      </c>
      <c r="D1801" s="7">
        <v>45676</v>
      </c>
      <c r="E1801" t="s">
        <v>219</v>
      </c>
      <c r="F1801" t="s">
        <v>215</v>
      </c>
      <c r="G1801">
        <v>20</v>
      </c>
      <c r="H1801" s="7">
        <v>45679</v>
      </c>
      <c r="I1801" t="s">
        <v>209</v>
      </c>
    </row>
    <row r="1802" spans="1:9">
      <c r="A1802">
        <v>51801</v>
      </c>
      <c r="B1802">
        <v>3151</v>
      </c>
      <c r="C1802">
        <v>2011</v>
      </c>
      <c r="D1802" s="7">
        <v>45703</v>
      </c>
      <c r="E1802" t="s">
        <v>204</v>
      </c>
      <c r="F1802" t="s">
        <v>202</v>
      </c>
      <c r="G1802">
        <v>30</v>
      </c>
      <c r="H1802" s="7">
        <v>45706</v>
      </c>
      <c r="I1802" t="s">
        <v>211</v>
      </c>
    </row>
    <row r="1803" spans="1:9">
      <c r="A1803">
        <v>51802</v>
      </c>
      <c r="B1803">
        <v>3151</v>
      </c>
      <c r="C1803">
        <v>2011</v>
      </c>
      <c r="D1803" s="7">
        <v>45712</v>
      </c>
      <c r="E1803" t="s">
        <v>208</v>
      </c>
      <c r="F1803" t="s">
        <v>202</v>
      </c>
      <c r="G1803">
        <v>45</v>
      </c>
      <c r="H1803" s="7">
        <v>45742</v>
      </c>
      <c r="I1803" t="s">
        <v>209</v>
      </c>
    </row>
    <row r="1804" spans="1:9">
      <c r="A1804">
        <v>51803</v>
      </c>
      <c r="B1804">
        <v>3151</v>
      </c>
      <c r="C1804">
        <v>2011</v>
      </c>
      <c r="D1804" s="7">
        <v>45713</v>
      </c>
      <c r="E1804" t="s">
        <v>208</v>
      </c>
      <c r="F1804" t="s">
        <v>202</v>
      </c>
      <c r="G1804">
        <v>20</v>
      </c>
      <c r="H1804" s="7">
        <v>45716</v>
      </c>
      <c r="I1804" t="s">
        <v>203</v>
      </c>
    </row>
    <row r="1805" spans="1:9">
      <c r="A1805">
        <v>51804</v>
      </c>
      <c r="B1805">
        <v>3151</v>
      </c>
      <c r="C1805">
        <v>2011</v>
      </c>
      <c r="D1805" s="7">
        <v>45793</v>
      </c>
      <c r="E1805" t="s">
        <v>212</v>
      </c>
      <c r="F1805" t="s">
        <v>202</v>
      </c>
      <c r="G1805">
        <v>20</v>
      </c>
      <c r="H1805" s="7">
        <v>45800</v>
      </c>
      <c r="I1805" t="s">
        <v>206</v>
      </c>
    </row>
    <row r="1806" spans="1:9">
      <c r="A1806">
        <v>51805</v>
      </c>
      <c r="B1806">
        <v>3151</v>
      </c>
      <c r="C1806">
        <v>2011</v>
      </c>
      <c r="D1806" s="7">
        <v>45795</v>
      </c>
      <c r="E1806" t="s">
        <v>212</v>
      </c>
      <c r="F1806" t="s">
        <v>214</v>
      </c>
      <c r="H1806" s="7">
        <v>45825</v>
      </c>
      <c r="I1806" t="s">
        <v>206</v>
      </c>
    </row>
    <row r="1807" spans="1:9">
      <c r="A1807">
        <v>51806</v>
      </c>
      <c r="B1807">
        <v>3151</v>
      </c>
      <c r="C1807">
        <v>2011</v>
      </c>
      <c r="D1807" s="7">
        <v>45881</v>
      </c>
      <c r="E1807" t="s">
        <v>204</v>
      </c>
      <c r="F1807" t="s">
        <v>202</v>
      </c>
      <c r="G1807">
        <v>60</v>
      </c>
      <c r="H1807" s="7">
        <v>45911</v>
      </c>
      <c r="I1807" t="s">
        <v>216</v>
      </c>
    </row>
    <row r="1808" spans="1:9">
      <c r="A1808">
        <v>51807</v>
      </c>
      <c r="B1808">
        <v>3151</v>
      </c>
      <c r="C1808">
        <v>2011</v>
      </c>
      <c r="D1808" s="7">
        <v>45947</v>
      </c>
      <c r="E1808" t="s">
        <v>208</v>
      </c>
      <c r="F1808" t="s">
        <v>214</v>
      </c>
      <c r="H1808" s="7">
        <v>45950</v>
      </c>
      <c r="I1808" t="s">
        <v>207</v>
      </c>
    </row>
    <row r="1809" spans="1:9">
      <c r="A1809">
        <v>51808</v>
      </c>
      <c r="B1809">
        <v>3151</v>
      </c>
      <c r="C1809">
        <v>2011</v>
      </c>
      <c r="D1809" s="7">
        <v>45957</v>
      </c>
      <c r="E1809" t="s">
        <v>212</v>
      </c>
      <c r="F1809" t="s">
        <v>214</v>
      </c>
      <c r="H1809" s="7">
        <v>45960</v>
      </c>
      <c r="I1809" t="s">
        <v>211</v>
      </c>
    </row>
    <row r="1810" spans="1:9">
      <c r="A1810">
        <v>51809</v>
      </c>
      <c r="B1810">
        <v>3151</v>
      </c>
      <c r="C1810">
        <v>2011</v>
      </c>
      <c r="D1810" s="7">
        <v>46055</v>
      </c>
      <c r="E1810" t="s">
        <v>201</v>
      </c>
      <c r="F1810" t="s">
        <v>202</v>
      </c>
      <c r="G1810">
        <v>10</v>
      </c>
      <c r="H1810" s="7">
        <v>46076</v>
      </c>
      <c r="I1810" t="s">
        <v>206</v>
      </c>
    </row>
    <row r="1811" spans="1:9">
      <c r="A1811">
        <v>51810</v>
      </c>
      <c r="B1811">
        <v>3151</v>
      </c>
      <c r="C1811">
        <v>2011</v>
      </c>
      <c r="D1811" s="7">
        <v>46079</v>
      </c>
      <c r="E1811" t="s">
        <v>210</v>
      </c>
      <c r="F1811" t="s">
        <v>202</v>
      </c>
      <c r="G1811">
        <v>15</v>
      </c>
      <c r="H1811" s="7">
        <v>46086</v>
      </c>
      <c r="I1811" t="s">
        <v>209</v>
      </c>
    </row>
    <row r="1812" spans="1:9">
      <c r="A1812">
        <v>51811</v>
      </c>
      <c r="B1812">
        <v>3151</v>
      </c>
      <c r="C1812">
        <v>2011</v>
      </c>
      <c r="D1812" s="7">
        <v>46086</v>
      </c>
      <c r="E1812" t="s">
        <v>204</v>
      </c>
      <c r="F1812" t="s">
        <v>218</v>
      </c>
      <c r="H1812" s="7"/>
      <c r="I1812" t="s">
        <v>207</v>
      </c>
    </row>
    <row r="1813" spans="1:9">
      <c r="A1813">
        <v>51812</v>
      </c>
      <c r="B1813">
        <v>3151</v>
      </c>
      <c r="C1813">
        <v>2011</v>
      </c>
      <c r="D1813" s="7">
        <v>46092</v>
      </c>
      <c r="E1813" t="s">
        <v>204</v>
      </c>
      <c r="F1813" t="s">
        <v>214</v>
      </c>
      <c r="H1813" s="7">
        <v>46095</v>
      </c>
      <c r="I1813" t="s">
        <v>217</v>
      </c>
    </row>
    <row r="1814" spans="1:9">
      <c r="A1814">
        <v>51813</v>
      </c>
      <c r="B1814">
        <v>3151</v>
      </c>
      <c r="C1814">
        <v>2011</v>
      </c>
      <c r="D1814" s="7">
        <v>46168</v>
      </c>
      <c r="E1814" t="s">
        <v>210</v>
      </c>
      <c r="F1814" t="s">
        <v>213</v>
      </c>
      <c r="H1814" s="7">
        <v>46198</v>
      </c>
      <c r="I1814" t="s">
        <v>203</v>
      </c>
    </row>
    <row r="1815" spans="1:9">
      <c r="A1815">
        <v>51814</v>
      </c>
      <c r="B1815">
        <v>3152</v>
      </c>
      <c r="C1815">
        <v>2007</v>
      </c>
      <c r="D1815" s="7">
        <v>45319</v>
      </c>
      <c r="E1815" t="s">
        <v>212</v>
      </c>
      <c r="F1815" t="s">
        <v>213</v>
      </c>
      <c r="H1815" s="7">
        <v>45333</v>
      </c>
      <c r="I1815" t="s">
        <v>217</v>
      </c>
    </row>
    <row r="1816" spans="1:9">
      <c r="A1816">
        <v>51815</v>
      </c>
      <c r="B1816">
        <v>3152</v>
      </c>
      <c r="C1816">
        <v>2007</v>
      </c>
      <c r="D1816" s="7">
        <v>45377</v>
      </c>
      <c r="E1816" t="s">
        <v>210</v>
      </c>
      <c r="F1816" t="s">
        <v>213</v>
      </c>
      <c r="H1816" s="7">
        <v>45380</v>
      </c>
      <c r="I1816" t="s">
        <v>216</v>
      </c>
    </row>
    <row r="1817" spans="1:9">
      <c r="A1817">
        <v>51816</v>
      </c>
      <c r="B1817">
        <v>3152</v>
      </c>
      <c r="C1817">
        <v>2007</v>
      </c>
      <c r="D1817" s="7">
        <v>45397</v>
      </c>
      <c r="E1817" t="s">
        <v>219</v>
      </c>
      <c r="F1817" t="s">
        <v>214</v>
      </c>
      <c r="H1817" s="7">
        <v>45404</v>
      </c>
      <c r="I1817" t="s">
        <v>209</v>
      </c>
    </row>
    <row r="1818" spans="1:9">
      <c r="A1818">
        <v>51817</v>
      </c>
      <c r="B1818">
        <v>3152</v>
      </c>
      <c r="C1818">
        <v>2007</v>
      </c>
      <c r="D1818" s="7">
        <v>45499</v>
      </c>
      <c r="E1818" t="s">
        <v>219</v>
      </c>
      <c r="F1818" t="s">
        <v>218</v>
      </c>
      <c r="H1818" s="7"/>
      <c r="I1818" t="s">
        <v>206</v>
      </c>
    </row>
    <row r="1819" spans="1:9">
      <c r="A1819">
        <v>51818</v>
      </c>
      <c r="B1819">
        <v>3152</v>
      </c>
      <c r="C1819">
        <v>2007</v>
      </c>
      <c r="D1819" s="7">
        <v>45584</v>
      </c>
      <c r="E1819" t="s">
        <v>201</v>
      </c>
      <c r="F1819" t="s">
        <v>214</v>
      </c>
      <c r="H1819" s="7">
        <v>45598</v>
      </c>
      <c r="I1819" t="s">
        <v>207</v>
      </c>
    </row>
    <row r="1820" spans="1:9">
      <c r="A1820">
        <v>51819</v>
      </c>
      <c r="B1820">
        <v>3152</v>
      </c>
      <c r="C1820">
        <v>2007</v>
      </c>
      <c r="D1820" s="7">
        <v>45631</v>
      </c>
      <c r="E1820" t="s">
        <v>201</v>
      </c>
      <c r="F1820" t="s">
        <v>215</v>
      </c>
      <c r="G1820">
        <v>30</v>
      </c>
      <c r="H1820" s="7">
        <v>45638</v>
      </c>
      <c r="I1820" t="s">
        <v>206</v>
      </c>
    </row>
    <row r="1821" spans="1:9">
      <c r="A1821">
        <v>51820</v>
      </c>
      <c r="B1821">
        <v>3152</v>
      </c>
      <c r="C1821">
        <v>2007</v>
      </c>
      <c r="D1821" s="7">
        <v>45678</v>
      </c>
      <c r="E1821" t="s">
        <v>204</v>
      </c>
      <c r="F1821" t="s">
        <v>214</v>
      </c>
      <c r="H1821" s="7">
        <v>45692</v>
      </c>
      <c r="I1821" t="s">
        <v>206</v>
      </c>
    </row>
    <row r="1822" spans="1:9">
      <c r="A1822">
        <v>51821</v>
      </c>
      <c r="B1822">
        <v>3152</v>
      </c>
      <c r="C1822">
        <v>2007</v>
      </c>
      <c r="D1822" s="7">
        <v>45776</v>
      </c>
      <c r="E1822" t="s">
        <v>210</v>
      </c>
      <c r="F1822" t="s">
        <v>218</v>
      </c>
      <c r="H1822" s="7"/>
      <c r="I1822" t="s">
        <v>207</v>
      </c>
    </row>
    <row r="1823" spans="1:9">
      <c r="A1823">
        <v>51822</v>
      </c>
      <c r="B1823">
        <v>3152</v>
      </c>
      <c r="C1823">
        <v>2007</v>
      </c>
      <c r="D1823" s="7">
        <v>45786</v>
      </c>
      <c r="E1823" t="s">
        <v>210</v>
      </c>
      <c r="F1823" t="s">
        <v>205</v>
      </c>
      <c r="H1823" s="7"/>
      <c r="I1823" t="s">
        <v>216</v>
      </c>
    </row>
    <row r="1824" spans="1:9">
      <c r="A1824">
        <v>51823</v>
      </c>
      <c r="B1824">
        <v>3152</v>
      </c>
      <c r="C1824">
        <v>2007</v>
      </c>
      <c r="D1824" s="7">
        <v>45866</v>
      </c>
      <c r="E1824" t="s">
        <v>201</v>
      </c>
      <c r="F1824" t="s">
        <v>202</v>
      </c>
      <c r="G1824">
        <v>30</v>
      </c>
      <c r="H1824" s="7">
        <v>45869</v>
      </c>
      <c r="I1824" t="s">
        <v>209</v>
      </c>
    </row>
    <row r="1825" spans="1:9">
      <c r="A1825">
        <v>51824</v>
      </c>
      <c r="B1825">
        <v>3152</v>
      </c>
      <c r="C1825">
        <v>2007</v>
      </c>
      <c r="D1825" s="7">
        <v>45995</v>
      </c>
      <c r="E1825" t="s">
        <v>212</v>
      </c>
      <c r="F1825" t="s">
        <v>202</v>
      </c>
      <c r="G1825">
        <v>90</v>
      </c>
      <c r="H1825" s="7">
        <v>46002</v>
      </c>
      <c r="I1825" t="s">
        <v>206</v>
      </c>
    </row>
    <row r="1826" spans="1:9">
      <c r="A1826">
        <v>51825</v>
      </c>
      <c r="B1826">
        <v>3152</v>
      </c>
      <c r="C1826">
        <v>2007</v>
      </c>
      <c r="D1826" s="7">
        <v>46074</v>
      </c>
      <c r="E1826" t="s">
        <v>204</v>
      </c>
      <c r="F1826" t="s">
        <v>202</v>
      </c>
      <c r="G1826">
        <v>60</v>
      </c>
      <c r="H1826" s="7">
        <v>46104</v>
      </c>
      <c r="I1826" t="s">
        <v>216</v>
      </c>
    </row>
    <row r="1827" spans="1:9">
      <c r="A1827">
        <v>51826</v>
      </c>
      <c r="B1827">
        <v>3153</v>
      </c>
      <c r="C1827">
        <v>2005</v>
      </c>
      <c r="D1827" s="7">
        <v>45124</v>
      </c>
      <c r="E1827" t="s">
        <v>204</v>
      </c>
      <c r="F1827" t="s">
        <v>202</v>
      </c>
      <c r="G1827">
        <v>60</v>
      </c>
      <c r="H1827" s="7">
        <v>45127</v>
      </c>
      <c r="I1827" t="s">
        <v>211</v>
      </c>
    </row>
    <row r="1828" spans="1:9">
      <c r="A1828">
        <v>51827</v>
      </c>
      <c r="B1828">
        <v>3153</v>
      </c>
      <c r="C1828">
        <v>2005</v>
      </c>
      <c r="D1828" s="7">
        <v>45311</v>
      </c>
      <c r="E1828" t="s">
        <v>210</v>
      </c>
      <c r="F1828" t="s">
        <v>205</v>
      </c>
      <c r="H1828" s="7"/>
      <c r="I1828" t="s">
        <v>211</v>
      </c>
    </row>
    <row r="1829" spans="1:9">
      <c r="A1829">
        <v>51828</v>
      </c>
      <c r="B1829">
        <v>3153</v>
      </c>
      <c r="C1829">
        <v>2005</v>
      </c>
      <c r="D1829" s="7">
        <v>45350</v>
      </c>
      <c r="E1829" t="s">
        <v>219</v>
      </c>
      <c r="F1829" t="s">
        <v>202</v>
      </c>
      <c r="G1829">
        <v>45</v>
      </c>
      <c r="H1829" s="7">
        <v>45380</v>
      </c>
      <c r="I1829" t="s">
        <v>211</v>
      </c>
    </row>
    <row r="1830" spans="1:9">
      <c r="A1830">
        <v>51829</v>
      </c>
      <c r="B1830">
        <v>3153</v>
      </c>
      <c r="C1830">
        <v>2005</v>
      </c>
      <c r="D1830" s="7">
        <v>45477</v>
      </c>
      <c r="E1830" t="s">
        <v>212</v>
      </c>
      <c r="F1830" t="s">
        <v>215</v>
      </c>
      <c r="G1830">
        <v>45</v>
      </c>
      <c r="H1830" s="7">
        <v>45484</v>
      </c>
      <c r="I1830" t="s">
        <v>211</v>
      </c>
    </row>
    <row r="1831" spans="1:9">
      <c r="A1831">
        <v>51830</v>
      </c>
      <c r="B1831">
        <v>3153</v>
      </c>
      <c r="C1831">
        <v>2005</v>
      </c>
      <c r="D1831" s="7">
        <v>45578</v>
      </c>
      <c r="E1831" t="s">
        <v>204</v>
      </c>
      <c r="F1831" t="s">
        <v>202</v>
      </c>
      <c r="G1831">
        <v>10</v>
      </c>
      <c r="H1831" s="7">
        <v>45608</v>
      </c>
      <c r="I1831" t="s">
        <v>209</v>
      </c>
    </row>
    <row r="1832" spans="1:9">
      <c r="A1832">
        <v>51831</v>
      </c>
      <c r="B1832">
        <v>3153</v>
      </c>
      <c r="C1832">
        <v>2005</v>
      </c>
      <c r="D1832" s="7">
        <v>45680</v>
      </c>
      <c r="E1832" t="s">
        <v>212</v>
      </c>
      <c r="F1832" t="s">
        <v>202</v>
      </c>
      <c r="G1832">
        <v>60</v>
      </c>
      <c r="H1832" s="7">
        <v>45683</v>
      </c>
      <c r="I1832" t="s">
        <v>203</v>
      </c>
    </row>
    <row r="1833" spans="1:9">
      <c r="A1833">
        <v>51832</v>
      </c>
      <c r="B1833">
        <v>3153</v>
      </c>
      <c r="C1833">
        <v>2005</v>
      </c>
      <c r="D1833" s="7">
        <v>46105</v>
      </c>
      <c r="E1833" t="s">
        <v>219</v>
      </c>
      <c r="F1833" t="s">
        <v>202</v>
      </c>
      <c r="G1833">
        <v>20</v>
      </c>
      <c r="H1833" s="7">
        <v>46108</v>
      </c>
      <c r="I1833" t="s">
        <v>203</v>
      </c>
    </row>
    <row r="1834" spans="1:9">
      <c r="A1834">
        <v>51833</v>
      </c>
      <c r="B1834">
        <v>3153</v>
      </c>
      <c r="C1834">
        <v>2005</v>
      </c>
      <c r="D1834" s="7">
        <v>46132</v>
      </c>
      <c r="E1834" t="s">
        <v>219</v>
      </c>
      <c r="F1834" t="s">
        <v>215</v>
      </c>
      <c r="G1834">
        <v>20</v>
      </c>
      <c r="H1834" s="7">
        <v>46135</v>
      </c>
      <c r="I1834" t="s">
        <v>207</v>
      </c>
    </row>
    <row r="1835" spans="1:9">
      <c r="A1835">
        <v>51834</v>
      </c>
      <c r="B1835">
        <v>3154</v>
      </c>
      <c r="C1835">
        <v>2005</v>
      </c>
      <c r="D1835" s="7">
        <v>45173</v>
      </c>
      <c r="E1835" t="s">
        <v>210</v>
      </c>
      <c r="F1835" t="s">
        <v>214</v>
      </c>
      <c r="H1835" s="7">
        <v>45194</v>
      </c>
      <c r="I1835" t="s">
        <v>206</v>
      </c>
    </row>
    <row r="1836" spans="1:9">
      <c r="A1836">
        <v>51835</v>
      </c>
      <c r="B1836">
        <v>3154</v>
      </c>
      <c r="C1836">
        <v>2005</v>
      </c>
      <c r="D1836" s="7">
        <v>45209</v>
      </c>
      <c r="E1836" t="s">
        <v>212</v>
      </c>
      <c r="F1836" t="s">
        <v>218</v>
      </c>
      <c r="H1836" s="7"/>
      <c r="I1836" t="s">
        <v>206</v>
      </c>
    </row>
    <row r="1837" spans="1:9">
      <c r="A1837">
        <v>51836</v>
      </c>
      <c r="B1837">
        <v>3154</v>
      </c>
      <c r="C1837">
        <v>2005</v>
      </c>
      <c r="D1837" s="7">
        <v>45315</v>
      </c>
      <c r="E1837" t="s">
        <v>204</v>
      </c>
      <c r="F1837" t="s">
        <v>202</v>
      </c>
      <c r="G1837">
        <v>90</v>
      </c>
      <c r="H1837" s="7">
        <v>45336</v>
      </c>
      <c r="I1837" t="s">
        <v>209</v>
      </c>
    </row>
    <row r="1838" spans="1:9">
      <c r="A1838">
        <v>51837</v>
      </c>
      <c r="B1838">
        <v>3154</v>
      </c>
      <c r="C1838">
        <v>2005</v>
      </c>
      <c r="D1838" s="7">
        <v>45541</v>
      </c>
      <c r="E1838" t="s">
        <v>201</v>
      </c>
      <c r="F1838" t="s">
        <v>205</v>
      </c>
      <c r="H1838" s="7"/>
      <c r="I1838" t="s">
        <v>203</v>
      </c>
    </row>
    <row r="1839" spans="1:9">
      <c r="A1839">
        <v>51838</v>
      </c>
      <c r="B1839">
        <v>3154</v>
      </c>
      <c r="C1839">
        <v>2005</v>
      </c>
      <c r="D1839" s="7">
        <v>45544</v>
      </c>
      <c r="E1839" t="s">
        <v>219</v>
      </c>
      <c r="F1839" t="s">
        <v>202</v>
      </c>
      <c r="G1839">
        <v>30</v>
      </c>
      <c r="H1839" s="7">
        <v>45565</v>
      </c>
      <c r="I1839" t="s">
        <v>207</v>
      </c>
    </row>
    <row r="1840" spans="1:9">
      <c r="A1840">
        <v>51839</v>
      </c>
      <c r="B1840">
        <v>3154</v>
      </c>
      <c r="C1840">
        <v>2005</v>
      </c>
      <c r="D1840" s="7">
        <v>45624</v>
      </c>
      <c r="E1840" t="s">
        <v>212</v>
      </c>
      <c r="F1840" t="s">
        <v>202</v>
      </c>
      <c r="G1840">
        <v>10</v>
      </c>
      <c r="H1840" s="7">
        <v>45631</v>
      </c>
      <c r="I1840" t="s">
        <v>216</v>
      </c>
    </row>
    <row r="1841" spans="1:9">
      <c r="A1841">
        <v>51840</v>
      </c>
      <c r="B1841">
        <v>3154</v>
      </c>
      <c r="C1841">
        <v>2005</v>
      </c>
      <c r="D1841" s="7">
        <v>45716</v>
      </c>
      <c r="E1841" t="s">
        <v>201</v>
      </c>
      <c r="F1841" t="s">
        <v>202</v>
      </c>
      <c r="G1841">
        <v>20</v>
      </c>
      <c r="H1841" s="7">
        <v>45746</v>
      </c>
      <c r="I1841" t="s">
        <v>211</v>
      </c>
    </row>
    <row r="1842" spans="1:9">
      <c r="A1842">
        <v>51841</v>
      </c>
      <c r="B1842">
        <v>3154</v>
      </c>
      <c r="C1842">
        <v>2005</v>
      </c>
      <c r="D1842" s="7">
        <v>45740</v>
      </c>
      <c r="E1842" t="s">
        <v>201</v>
      </c>
      <c r="F1842" t="s">
        <v>202</v>
      </c>
      <c r="G1842">
        <v>60</v>
      </c>
      <c r="H1842" s="7">
        <v>45770</v>
      </c>
      <c r="I1842" t="s">
        <v>217</v>
      </c>
    </row>
    <row r="1843" spans="1:9">
      <c r="A1843">
        <v>51842</v>
      </c>
      <c r="B1843">
        <v>3154</v>
      </c>
      <c r="C1843">
        <v>2005</v>
      </c>
      <c r="D1843" s="7">
        <v>45796</v>
      </c>
      <c r="E1843" t="s">
        <v>219</v>
      </c>
      <c r="F1843" t="s">
        <v>202</v>
      </c>
      <c r="G1843">
        <v>10</v>
      </c>
      <c r="H1843" s="7">
        <v>45826</v>
      </c>
      <c r="I1843" t="s">
        <v>217</v>
      </c>
    </row>
    <row r="1844" spans="1:9">
      <c r="A1844">
        <v>51843</v>
      </c>
      <c r="B1844">
        <v>3154</v>
      </c>
      <c r="C1844">
        <v>2005</v>
      </c>
      <c r="D1844" s="7">
        <v>45922</v>
      </c>
      <c r="E1844" t="s">
        <v>219</v>
      </c>
      <c r="F1844" t="s">
        <v>202</v>
      </c>
      <c r="G1844">
        <v>60</v>
      </c>
      <c r="H1844" s="7">
        <v>45952</v>
      </c>
      <c r="I1844" t="s">
        <v>216</v>
      </c>
    </row>
    <row r="1845" spans="1:9">
      <c r="A1845">
        <v>51844</v>
      </c>
      <c r="B1845">
        <v>3154</v>
      </c>
      <c r="C1845">
        <v>2005</v>
      </c>
      <c r="D1845" s="7">
        <v>45924</v>
      </c>
      <c r="E1845" t="s">
        <v>204</v>
      </c>
      <c r="F1845" t="s">
        <v>202</v>
      </c>
      <c r="G1845">
        <v>30</v>
      </c>
      <c r="H1845" s="7">
        <v>45931</v>
      </c>
      <c r="I1845" t="s">
        <v>207</v>
      </c>
    </row>
    <row r="1846" spans="1:9">
      <c r="A1846">
        <v>51845</v>
      </c>
      <c r="B1846">
        <v>3154</v>
      </c>
      <c r="C1846">
        <v>2005</v>
      </c>
      <c r="D1846" s="7">
        <v>46020</v>
      </c>
      <c r="E1846" t="s">
        <v>212</v>
      </c>
      <c r="F1846" t="s">
        <v>214</v>
      </c>
      <c r="H1846" s="7">
        <v>46041</v>
      </c>
      <c r="I1846" t="s">
        <v>209</v>
      </c>
    </row>
    <row r="1847" spans="1:9">
      <c r="A1847">
        <v>51846</v>
      </c>
      <c r="B1847">
        <v>3154</v>
      </c>
      <c r="C1847">
        <v>2005</v>
      </c>
      <c r="D1847" s="7">
        <v>46096</v>
      </c>
      <c r="E1847" t="s">
        <v>204</v>
      </c>
      <c r="F1847" t="s">
        <v>202</v>
      </c>
      <c r="G1847">
        <v>20</v>
      </c>
      <c r="H1847" s="7">
        <v>46110</v>
      </c>
      <c r="I1847" t="s">
        <v>216</v>
      </c>
    </row>
    <row r="1848" spans="1:9">
      <c r="A1848">
        <v>51847</v>
      </c>
      <c r="B1848">
        <v>3154</v>
      </c>
      <c r="C1848">
        <v>2005</v>
      </c>
      <c r="D1848" s="7">
        <v>46109</v>
      </c>
      <c r="E1848" t="s">
        <v>219</v>
      </c>
      <c r="F1848" t="s">
        <v>215</v>
      </c>
      <c r="G1848">
        <v>20</v>
      </c>
      <c r="H1848" s="7">
        <v>46112</v>
      </c>
      <c r="I1848" t="s">
        <v>211</v>
      </c>
    </row>
    <row r="1849" spans="1:9">
      <c r="A1849">
        <v>51848</v>
      </c>
      <c r="B1849">
        <v>3154</v>
      </c>
      <c r="C1849">
        <v>2005</v>
      </c>
      <c r="D1849" s="7">
        <v>46120</v>
      </c>
      <c r="E1849" t="s">
        <v>208</v>
      </c>
      <c r="F1849" t="s">
        <v>202</v>
      </c>
      <c r="G1849">
        <v>20</v>
      </c>
      <c r="H1849" s="7">
        <v>46127</v>
      </c>
      <c r="I1849" t="s">
        <v>203</v>
      </c>
    </row>
    <row r="1850" spans="1:9">
      <c r="A1850">
        <v>51849</v>
      </c>
      <c r="B1850">
        <v>3154</v>
      </c>
      <c r="C1850">
        <v>2005</v>
      </c>
      <c r="D1850" s="7">
        <v>46154</v>
      </c>
      <c r="E1850" t="s">
        <v>210</v>
      </c>
      <c r="F1850" t="s">
        <v>214</v>
      </c>
      <c r="H1850" s="7">
        <v>46161</v>
      </c>
      <c r="I1850" t="s">
        <v>217</v>
      </c>
    </row>
    <row r="1851" spans="1:9">
      <c r="A1851">
        <v>51850</v>
      </c>
      <c r="B1851">
        <v>3154</v>
      </c>
      <c r="C1851">
        <v>2005</v>
      </c>
      <c r="D1851" s="7">
        <v>46169</v>
      </c>
      <c r="E1851" t="s">
        <v>212</v>
      </c>
      <c r="F1851" t="s">
        <v>218</v>
      </c>
      <c r="H1851" s="7"/>
      <c r="I1851" t="s">
        <v>217</v>
      </c>
    </row>
    <row r="1852" spans="1:9">
      <c r="A1852">
        <v>51851</v>
      </c>
      <c r="B1852">
        <v>3155</v>
      </c>
      <c r="C1852">
        <v>2007</v>
      </c>
      <c r="D1852" s="7">
        <v>45258</v>
      </c>
      <c r="E1852" t="s">
        <v>204</v>
      </c>
      <c r="F1852" t="s">
        <v>202</v>
      </c>
      <c r="G1852">
        <v>45</v>
      </c>
      <c r="H1852" s="7">
        <v>45272</v>
      </c>
      <c r="I1852" t="s">
        <v>207</v>
      </c>
    </row>
    <row r="1853" spans="1:9">
      <c r="A1853">
        <v>51852</v>
      </c>
      <c r="B1853">
        <v>3155</v>
      </c>
      <c r="C1853">
        <v>2007</v>
      </c>
      <c r="D1853" s="7">
        <v>45283</v>
      </c>
      <c r="E1853" t="s">
        <v>204</v>
      </c>
      <c r="F1853" t="s">
        <v>214</v>
      </c>
      <c r="H1853" s="7">
        <v>45297</v>
      </c>
      <c r="I1853" t="s">
        <v>209</v>
      </c>
    </row>
    <row r="1854" spans="1:9">
      <c r="A1854">
        <v>51853</v>
      </c>
      <c r="B1854">
        <v>3155</v>
      </c>
      <c r="C1854">
        <v>2007</v>
      </c>
      <c r="D1854" s="7">
        <v>45376</v>
      </c>
      <c r="E1854" t="s">
        <v>212</v>
      </c>
      <c r="F1854" t="s">
        <v>214</v>
      </c>
      <c r="H1854" s="7">
        <v>45397</v>
      </c>
      <c r="I1854" t="s">
        <v>203</v>
      </c>
    </row>
    <row r="1855" spans="1:9">
      <c r="A1855">
        <v>51854</v>
      </c>
      <c r="B1855">
        <v>3155</v>
      </c>
      <c r="C1855">
        <v>2007</v>
      </c>
      <c r="D1855" s="7">
        <v>45380</v>
      </c>
      <c r="E1855" t="s">
        <v>204</v>
      </c>
      <c r="F1855" t="s">
        <v>214</v>
      </c>
      <c r="H1855" s="7">
        <v>45383</v>
      </c>
      <c r="I1855" t="s">
        <v>206</v>
      </c>
    </row>
    <row r="1856" spans="1:9">
      <c r="A1856">
        <v>51855</v>
      </c>
      <c r="B1856">
        <v>3155</v>
      </c>
      <c r="C1856">
        <v>2007</v>
      </c>
      <c r="D1856" s="7">
        <v>45446</v>
      </c>
      <c r="E1856" t="s">
        <v>219</v>
      </c>
      <c r="F1856" t="s">
        <v>202</v>
      </c>
      <c r="G1856">
        <v>60</v>
      </c>
      <c r="H1856" s="7">
        <v>45460</v>
      </c>
      <c r="I1856" t="s">
        <v>209</v>
      </c>
    </row>
    <row r="1857" spans="1:9">
      <c r="A1857">
        <v>51856</v>
      </c>
      <c r="B1857">
        <v>3155</v>
      </c>
      <c r="C1857">
        <v>2007</v>
      </c>
      <c r="D1857" s="7">
        <v>45612</v>
      </c>
      <c r="E1857" t="s">
        <v>219</v>
      </c>
      <c r="F1857" t="s">
        <v>202</v>
      </c>
      <c r="G1857">
        <v>10</v>
      </c>
      <c r="H1857" s="7">
        <v>45626</v>
      </c>
      <c r="I1857" t="s">
        <v>207</v>
      </c>
    </row>
    <row r="1858" spans="1:9">
      <c r="A1858">
        <v>51857</v>
      </c>
      <c r="B1858">
        <v>3155</v>
      </c>
      <c r="C1858">
        <v>2007</v>
      </c>
      <c r="D1858" s="7">
        <v>45655</v>
      </c>
      <c r="E1858" t="s">
        <v>204</v>
      </c>
      <c r="F1858" t="s">
        <v>202</v>
      </c>
      <c r="G1858">
        <v>20</v>
      </c>
      <c r="H1858" s="7">
        <v>45669</v>
      </c>
      <c r="I1858" t="s">
        <v>206</v>
      </c>
    </row>
    <row r="1859" spans="1:9">
      <c r="A1859">
        <v>51858</v>
      </c>
      <c r="B1859">
        <v>3155</v>
      </c>
      <c r="C1859">
        <v>2007</v>
      </c>
      <c r="D1859" s="7">
        <v>45849</v>
      </c>
      <c r="E1859" t="s">
        <v>210</v>
      </c>
      <c r="F1859" t="s">
        <v>202</v>
      </c>
      <c r="G1859">
        <v>30</v>
      </c>
      <c r="H1859" s="7">
        <v>45863</v>
      </c>
      <c r="I1859" t="s">
        <v>206</v>
      </c>
    </row>
    <row r="1860" spans="1:9">
      <c r="A1860">
        <v>51859</v>
      </c>
      <c r="B1860">
        <v>3155</v>
      </c>
      <c r="C1860">
        <v>2007</v>
      </c>
      <c r="D1860" s="7">
        <v>45853</v>
      </c>
      <c r="E1860" t="s">
        <v>212</v>
      </c>
      <c r="F1860" t="s">
        <v>202</v>
      </c>
      <c r="G1860">
        <v>60</v>
      </c>
      <c r="H1860" s="7">
        <v>45883</v>
      </c>
      <c r="I1860" t="s">
        <v>203</v>
      </c>
    </row>
    <row r="1861" spans="1:9">
      <c r="A1861">
        <v>51860</v>
      </c>
      <c r="B1861">
        <v>3155</v>
      </c>
      <c r="C1861">
        <v>2007</v>
      </c>
      <c r="D1861" s="7">
        <v>45864</v>
      </c>
      <c r="E1861" t="s">
        <v>204</v>
      </c>
      <c r="F1861" t="s">
        <v>218</v>
      </c>
      <c r="H1861" s="7"/>
      <c r="I1861" t="s">
        <v>206</v>
      </c>
    </row>
    <row r="1862" spans="1:9">
      <c r="A1862">
        <v>51861</v>
      </c>
      <c r="B1862">
        <v>3155</v>
      </c>
      <c r="C1862">
        <v>2007</v>
      </c>
      <c r="D1862" s="7">
        <v>46029</v>
      </c>
      <c r="E1862" t="s">
        <v>212</v>
      </c>
      <c r="F1862" t="s">
        <v>202</v>
      </c>
      <c r="G1862">
        <v>15</v>
      </c>
      <c r="H1862" s="7">
        <v>46032</v>
      </c>
      <c r="I1862" t="s">
        <v>206</v>
      </c>
    </row>
    <row r="1863" spans="1:9">
      <c r="A1863">
        <v>51862</v>
      </c>
      <c r="B1863">
        <v>3155</v>
      </c>
      <c r="C1863">
        <v>2007</v>
      </c>
      <c r="D1863" s="7">
        <v>46113</v>
      </c>
      <c r="E1863" t="s">
        <v>204</v>
      </c>
      <c r="F1863" t="s">
        <v>214</v>
      </c>
      <c r="H1863" s="7">
        <v>46127</v>
      </c>
      <c r="I1863" t="s">
        <v>216</v>
      </c>
    </row>
    <row r="1864" spans="1:9">
      <c r="A1864">
        <v>51863</v>
      </c>
      <c r="B1864">
        <v>3155</v>
      </c>
      <c r="C1864">
        <v>2007</v>
      </c>
      <c r="D1864" s="7">
        <v>46207</v>
      </c>
      <c r="E1864" t="s">
        <v>212</v>
      </c>
      <c r="F1864" t="s">
        <v>205</v>
      </c>
      <c r="H1864" s="7"/>
      <c r="I1864" t="s">
        <v>211</v>
      </c>
    </row>
    <row r="1865" spans="1:9">
      <c r="A1865">
        <v>51864</v>
      </c>
      <c r="B1865">
        <v>3156</v>
      </c>
      <c r="C1865">
        <v>2011</v>
      </c>
      <c r="D1865" s="7">
        <v>46170</v>
      </c>
      <c r="E1865" t="s">
        <v>201</v>
      </c>
      <c r="F1865" t="s">
        <v>202</v>
      </c>
      <c r="G1865">
        <v>10</v>
      </c>
      <c r="H1865" s="7">
        <v>46184</v>
      </c>
      <c r="I1865" t="s">
        <v>203</v>
      </c>
    </row>
    <row r="1866" spans="1:9">
      <c r="A1866">
        <v>51865</v>
      </c>
      <c r="B1866">
        <v>3156</v>
      </c>
      <c r="C1866">
        <v>2011</v>
      </c>
      <c r="D1866" s="7">
        <v>46171</v>
      </c>
      <c r="E1866" t="s">
        <v>210</v>
      </c>
      <c r="F1866" t="s">
        <v>213</v>
      </c>
      <c r="H1866" s="7">
        <v>46174</v>
      </c>
      <c r="I1866" t="s">
        <v>217</v>
      </c>
    </row>
    <row r="1867" spans="1:9">
      <c r="A1867">
        <v>51866</v>
      </c>
      <c r="B1867">
        <v>3156</v>
      </c>
      <c r="C1867">
        <v>2011</v>
      </c>
      <c r="D1867" s="7">
        <v>46171</v>
      </c>
      <c r="E1867" t="s">
        <v>204</v>
      </c>
      <c r="F1867" t="s">
        <v>205</v>
      </c>
      <c r="H1867" s="7"/>
      <c r="I1867" t="s">
        <v>216</v>
      </c>
    </row>
    <row r="1868" spans="1:9">
      <c r="A1868">
        <v>51867</v>
      </c>
      <c r="B1868">
        <v>3156</v>
      </c>
      <c r="C1868">
        <v>2011</v>
      </c>
      <c r="D1868" s="7">
        <v>46172</v>
      </c>
      <c r="E1868" t="s">
        <v>219</v>
      </c>
      <c r="F1868" t="s">
        <v>202</v>
      </c>
      <c r="G1868">
        <v>15</v>
      </c>
      <c r="H1868" s="7">
        <v>46175</v>
      </c>
      <c r="I1868" t="s">
        <v>207</v>
      </c>
    </row>
    <row r="1869" spans="1:9">
      <c r="A1869">
        <v>51868</v>
      </c>
      <c r="B1869">
        <v>3156</v>
      </c>
      <c r="C1869">
        <v>2011</v>
      </c>
      <c r="D1869" s="7">
        <v>46175</v>
      </c>
      <c r="E1869" t="s">
        <v>201</v>
      </c>
      <c r="F1869" t="s">
        <v>215</v>
      </c>
      <c r="G1869">
        <v>10</v>
      </c>
      <c r="H1869" s="7">
        <v>46196</v>
      </c>
      <c r="I1869" t="s">
        <v>203</v>
      </c>
    </row>
    <row r="1870" spans="1:9">
      <c r="A1870">
        <v>51869</v>
      </c>
      <c r="B1870">
        <v>3156</v>
      </c>
      <c r="C1870">
        <v>2011</v>
      </c>
      <c r="D1870" s="7">
        <v>46177</v>
      </c>
      <c r="E1870" t="s">
        <v>201</v>
      </c>
      <c r="F1870" t="s">
        <v>202</v>
      </c>
      <c r="G1870">
        <v>20</v>
      </c>
      <c r="H1870" s="7">
        <v>46180</v>
      </c>
      <c r="I1870" t="s">
        <v>211</v>
      </c>
    </row>
    <row r="1871" spans="1:9">
      <c r="A1871">
        <v>51870</v>
      </c>
      <c r="B1871">
        <v>3156</v>
      </c>
      <c r="C1871">
        <v>2011</v>
      </c>
      <c r="D1871" s="7">
        <v>46179</v>
      </c>
      <c r="E1871" t="s">
        <v>212</v>
      </c>
      <c r="F1871" t="s">
        <v>202</v>
      </c>
      <c r="G1871">
        <v>20</v>
      </c>
      <c r="H1871" s="7">
        <v>46193</v>
      </c>
      <c r="I1871" t="s">
        <v>217</v>
      </c>
    </row>
    <row r="1872" spans="1:9">
      <c r="A1872">
        <v>51871</v>
      </c>
      <c r="B1872">
        <v>3156</v>
      </c>
      <c r="C1872">
        <v>2011</v>
      </c>
      <c r="D1872" s="7">
        <v>46181</v>
      </c>
      <c r="E1872" t="s">
        <v>201</v>
      </c>
      <c r="F1872" t="s">
        <v>202</v>
      </c>
      <c r="G1872">
        <v>10</v>
      </c>
      <c r="H1872" s="7">
        <v>46184</v>
      </c>
      <c r="I1872" t="s">
        <v>206</v>
      </c>
    </row>
    <row r="1873" spans="1:9">
      <c r="A1873">
        <v>51872</v>
      </c>
      <c r="B1873">
        <v>3156</v>
      </c>
      <c r="C1873">
        <v>2011</v>
      </c>
      <c r="D1873" s="7">
        <v>46191</v>
      </c>
      <c r="E1873" t="s">
        <v>212</v>
      </c>
      <c r="F1873" t="s">
        <v>205</v>
      </c>
      <c r="H1873" s="7"/>
      <c r="I1873" t="s">
        <v>217</v>
      </c>
    </row>
    <row r="1874" spans="1:9">
      <c r="A1874">
        <v>51873</v>
      </c>
      <c r="B1874">
        <v>3156</v>
      </c>
      <c r="C1874">
        <v>2011</v>
      </c>
      <c r="D1874" s="7">
        <v>46192</v>
      </c>
      <c r="E1874" t="s">
        <v>210</v>
      </c>
      <c r="F1874" t="s">
        <v>213</v>
      </c>
      <c r="H1874" s="7">
        <v>46206</v>
      </c>
      <c r="I1874" t="s">
        <v>207</v>
      </c>
    </row>
    <row r="1875" spans="1:9">
      <c r="A1875">
        <v>51874</v>
      </c>
      <c r="B1875">
        <v>3156</v>
      </c>
      <c r="C1875">
        <v>2011</v>
      </c>
      <c r="D1875" s="7">
        <v>46192</v>
      </c>
      <c r="E1875" t="s">
        <v>204</v>
      </c>
      <c r="F1875" t="s">
        <v>205</v>
      </c>
      <c r="H1875" s="7"/>
      <c r="I1875" t="s">
        <v>217</v>
      </c>
    </row>
    <row r="1876" spans="1:9">
      <c r="A1876">
        <v>51875</v>
      </c>
      <c r="B1876">
        <v>3156</v>
      </c>
      <c r="C1876">
        <v>2011</v>
      </c>
      <c r="D1876" s="7">
        <v>46196</v>
      </c>
      <c r="E1876" t="s">
        <v>204</v>
      </c>
      <c r="F1876" t="s">
        <v>205</v>
      </c>
      <c r="H1876" s="7"/>
      <c r="I1876" t="s">
        <v>206</v>
      </c>
    </row>
    <row r="1877" spans="1:9">
      <c r="A1877">
        <v>51876</v>
      </c>
      <c r="B1877">
        <v>3156</v>
      </c>
      <c r="C1877">
        <v>2011</v>
      </c>
      <c r="D1877" s="7">
        <v>46198</v>
      </c>
      <c r="E1877" t="s">
        <v>204</v>
      </c>
      <c r="F1877" t="s">
        <v>202</v>
      </c>
      <c r="G1877">
        <v>20</v>
      </c>
      <c r="H1877" s="7"/>
      <c r="I1877" t="s">
        <v>217</v>
      </c>
    </row>
    <row r="1878" spans="1:9">
      <c r="A1878">
        <v>51877</v>
      </c>
      <c r="B1878">
        <v>3156</v>
      </c>
      <c r="C1878">
        <v>2011</v>
      </c>
      <c r="D1878" s="7">
        <v>46202</v>
      </c>
      <c r="E1878" t="s">
        <v>210</v>
      </c>
      <c r="F1878" t="s">
        <v>213</v>
      </c>
      <c r="H1878" s="7">
        <v>46209</v>
      </c>
      <c r="I1878" t="s">
        <v>209</v>
      </c>
    </row>
    <row r="1879" spans="1:9">
      <c r="A1879">
        <v>51878</v>
      </c>
      <c r="B1879">
        <v>3156</v>
      </c>
      <c r="C1879">
        <v>2011</v>
      </c>
      <c r="D1879" s="7">
        <v>46205</v>
      </c>
      <c r="E1879" t="s">
        <v>212</v>
      </c>
      <c r="F1879" t="s">
        <v>214</v>
      </c>
      <c r="H1879" s="7"/>
      <c r="I1879" t="s">
        <v>207</v>
      </c>
    </row>
    <row r="1880" spans="1:9">
      <c r="A1880">
        <v>51879</v>
      </c>
      <c r="B1880">
        <v>3156</v>
      </c>
      <c r="C1880">
        <v>2011</v>
      </c>
      <c r="D1880" s="7">
        <v>46208</v>
      </c>
      <c r="E1880" t="s">
        <v>219</v>
      </c>
      <c r="F1880" t="s">
        <v>202</v>
      </c>
      <c r="G1880">
        <v>10</v>
      </c>
      <c r="H1880" s="7"/>
      <c r="I1880" t="s">
        <v>207</v>
      </c>
    </row>
    <row r="1881" spans="1:9">
      <c r="A1881">
        <v>51880</v>
      </c>
      <c r="B1881">
        <v>3157</v>
      </c>
      <c r="C1881">
        <v>2011</v>
      </c>
      <c r="D1881" s="7">
        <v>45777</v>
      </c>
      <c r="E1881" t="s">
        <v>208</v>
      </c>
      <c r="F1881" t="s">
        <v>202</v>
      </c>
      <c r="G1881">
        <v>30</v>
      </c>
      <c r="H1881" s="7">
        <v>45807</v>
      </c>
      <c r="I1881" t="s">
        <v>207</v>
      </c>
    </row>
    <row r="1882" spans="1:9">
      <c r="A1882">
        <v>51881</v>
      </c>
      <c r="B1882">
        <v>3157</v>
      </c>
      <c r="C1882">
        <v>2011</v>
      </c>
      <c r="D1882" s="7">
        <v>45882</v>
      </c>
      <c r="E1882" t="s">
        <v>208</v>
      </c>
      <c r="F1882" t="s">
        <v>215</v>
      </c>
      <c r="G1882">
        <v>45</v>
      </c>
      <c r="H1882" s="7">
        <v>45889</v>
      </c>
      <c r="I1882" t="s">
        <v>206</v>
      </c>
    </row>
    <row r="1883" spans="1:9">
      <c r="A1883">
        <v>51882</v>
      </c>
      <c r="B1883">
        <v>3157</v>
      </c>
      <c r="C1883">
        <v>2011</v>
      </c>
      <c r="D1883" s="7">
        <v>45892</v>
      </c>
      <c r="E1883" t="s">
        <v>201</v>
      </c>
      <c r="F1883" t="s">
        <v>202</v>
      </c>
      <c r="G1883">
        <v>15</v>
      </c>
      <c r="H1883" s="7">
        <v>45899</v>
      </c>
      <c r="I1883" t="s">
        <v>216</v>
      </c>
    </row>
    <row r="1884" spans="1:9">
      <c r="A1884">
        <v>51883</v>
      </c>
      <c r="B1884">
        <v>3157</v>
      </c>
      <c r="C1884">
        <v>2011</v>
      </c>
      <c r="D1884" s="7">
        <v>45950</v>
      </c>
      <c r="E1884" t="s">
        <v>219</v>
      </c>
      <c r="F1884" t="s">
        <v>202</v>
      </c>
      <c r="G1884">
        <v>45</v>
      </c>
      <c r="H1884" s="7">
        <v>45964</v>
      </c>
      <c r="I1884" t="s">
        <v>216</v>
      </c>
    </row>
    <row r="1885" spans="1:9">
      <c r="A1885">
        <v>51884</v>
      </c>
      <c r="B1885">
        <v>3157</v>
      </c>
      <c r="C1885">
        <v>2011</v>
      </c>
      <c r="D1885" s="7">
        <v>45971</v>
      </c>
      <c r="E1885" t="s">
        <v>201</v>
      </c>
      <c r="F1885" t="s">
        <v>213</v>
      </c>
      <c r="H1885" s="7">
        <v>46001</v>
      </c>
      <c r="I1885" t="s">
        <v>209</v>
      </c>
    </row>
    <row r="1886" spans="1:9">
      <c r="A1886">
        <v>51885</v>
      </c>
      <c r="B1886">
        <v>3157</v>
      </c>
      <c r="C1886">
        <v>2011</v>
      </c>
      <c r="D1886" s="7">
        <v>45975</v>
      </c>
      <c r="E1886" t="s">
        <v>212</v>
      </c>
      <c r="F1886" t="s">
        <v>202</v>
      </c>
      <c r="G1886">
        <v>20</v>
      </c>
      <c r="H1886" s="7">
        <v>45989</v>
      </c>
      <c r="I1886" t="s">
        <v>209</v>
      </c>
    </row>
    <row r="1887" spans="1:9">
      <c r="A1887">
        <v>51886</v>
      </c>
      <c r="B1887">
        <v>3158</v>
      </c>
      <c r="C1887">
        <v>2012</v>
      </c>
      <c r="D1887" s="7">
        <v>45636</v>
      </c>
      <c r="E1887" t="s">
        <v>210</v>
      </c>
      <c r="F1887" t="s">
        <v>218</v>
      </c>
      <c r="H1887" s="7"/>
      <c r="I1887" t="s">
        <v>217</v>
      </c>
    </row>
    <row r="1888" spans="1:9">
      <c r="A1888">
        <v>51887</v>
      </c>
      <c r="B1888">
        <v>3158</v>
      </c>
      <c r="C1888">
        <v>2012</v>
      </c>
      <c r="D1888" s="7">
        <v>45714</v>
      </c>
      <c r="E1888" t="s">
        <v>201</v>
      </c>
      <c r="F1888" t="s">
        <v>202</v>
      </c>
      <c r="G1888">
        <v>90</v>
      </c>
      <c r="H1888" s="7">
        <v>45744</v>
      </c>
      <c r="I1888" t="s">
        <v>216</v>
      </c>
    </row>
    <row r="1889" spans="1:9">
      <c r="A1889">
        <v>51888</v>
      </c>
      <c r="B1889">
        <v>3158</v>
      </c>
      <c r="C1889">
        <v>2012</v>
      </c>
      <c r="D1889" s="7">
        <v>45836</v>
      </c>
      <c r="E1889" t="s">
        <v>219</v>
      </c>
      <c r="F1889" t="s">
        <v>202</v>
      </c>
      <c r="G1889">
        <v>45</v>
      </c>
      <c r="H1889" s="7">
        <v>45857</v>
      </c>
      <c r="I1889" t="s">
        <v>209</v>
      </c>
    </row>
    <row r="1890" spans="1:9">
      <c r="A1890">
        <v>51889</v>
      </c>
      <c r="B1890">
        <v>3158</v>
      </c>
      <c r="C1890">
        <v>2012</v>
      </c>
      <c r="D1890" s="7">
        <v>45851</v>
      </c>
      <c r="E1890" t="s">
        <v>204</v>
      </c>
      <c r="F1890" t="s">
        <v>202</v>
      </c>
      <c r="G1890">
        <v>10</v>
      </c>
      <c r="H1890" s="7">
        <v>45881</v>
      </c>
      <c r="I1890" t="s">
        <v>207</v>
      </c>
    </row>
    <row r="1891" spans="1:9">
      <c r="A1891">
        <v>51890</v>
      </c>
      <c r="B1891">
        <v>3158</v>
      </c>
      <c r="C1891">
        <v>2012</v>
      </c>
      <c r="D1891" s="7">
        <v>45852</v>
      </c>
      <c r="E1891" t="s">
        <v>219</v>
      </c>
      <c r="F1891" t="s">
        <v>202</v>
      </c>
      <c r="G1891">
        <v>45</v>
      </c>
      <c r="H1891" s="7">
        <v>45859</v>
      </c>
      <c r="I1891" t="s">
        <v>207</v>
      </c>
    </row>
    <row r="1892" spans="1:9">
      <c r="A1892">
        <v>51891</v>
      </c>
      <c r="B1892">
        <v>3158</v>
      </c>
      <c r="C1892">
        <v>2012</v>
      </c>
      <c r="D1892" s="7">
        <v>45984</v>
      </c>
      <c r="E1892" t="s">
        <v>210</v>
      </c>
      <c r="F1892" t="s">
        <v>214</v>
      </c>
      <c r="H1892" s="7">
        <v>46005</v>
      </c>
      <c r="I1892" t="s">
        <v>211</v>
      </c>
    </row>
    <row r="1893" spans="1:9">
      <c r="A1893">
        <v>51892</v>
      </c>
      <c r="B1893">
        <v>3158</v>
      </c>
      <c r="C1893">
        <v>2012</v>
      </c>
      <c r="D1893" s="7">
        <v>46082</v>
      </c>
      <c r="E1893" t="s">
        <v>210</v>
      </c>
      <c r="F1893" t="s">
        <v>213</v>
      </c>
      <c r="H1893" s="7">
        <v>46089</v>
      </c>
      <c r="I1893" t="s">
        <v>217</v>
      </c>
    </row>
    <row r="1894" spans="1:9">
      <c r="A1894">
        <v>51893</v>
      </c>
      <c r="B1894">
        <v>3159</v>
      </c>
      <c r="C1894">
        <v>2009</v>
      </c>
      <c r="D1894" s="7">
        <v>45826</v>
      </c>
      <c r="E1894" t="s">
        <v>201</v>
      </c>
      <c r="F1894" t="s">
        <v>215</v>
      </c>
      <c r="G1894">
        <v>20</v>
      </c>
      <c r="H1894" s="7">
        <v>45856</v>
      </c>
      <c r="I1894" t="s">
        <v>206</v>
      </c>
    </row>
    <row r="1895" spans="1:9">
      <c r="A1895">
        <v>51894</v>
      </c>
      <c r="B1895">
        <v>3159</v>
      </c>
      <c r="C1895">
        <v>2009</v>
      </c>
      <c r="D1895" s="7">
        <v>45968</v>
      </c>
      <c r="E1895" t="s">
        <v>208</v>
      </c>
      <c r="F1895" t="s">
        <v>202</v>
      </c>
      <c r="G1895">
        <v>60</v>
      </c>
      <c r="H1895" s="7">
        <v>45971</v>
      </c>
      <c r="I1895" t="s">
        <v>211</v>
      </c>
    </row>
    <row r="1896" spans="1:9">
      <c r="A1896">
        <v>51895</v>
      </c>
      <c r="B1896">
        <v>3159</v>
      </c>
      <c r="C1896">
        <v>2009</v>
      </c>
      <c r="D1896" s="7">
        <v>45971</v>
      </c>
      <c r="E1896" t="s">
        <v>201</v>
      </c>
      <c r="F1896" t="s">
        <v>213</v>
      </c>
      <c r="H1896" s="7">
        <v>45985</v>
      </c>
      <c r="I1896" t="s">
        <v>207</v>
      </c>
    </row>
    <row r="1897" spans="1:9">
      <c r="A1897">
        <v>51896</v>
      </c>
      <c r="B1897">
        <v>3159</v>
      </c>
      <c r="C1897">
        <v>2009</v>
      </c>
      <c r="D1897" s="7">
        <v>45999</v>
      </c>
      <c r="E1897" t="s">
        <v>212</v>
      </c>
      <c r="F1897" t="s">
        <v>202</v>
      </c>
      <c r="G1897">
        <v>60</v>
      </c>
      <c r="H1897" s="7">
        <v>46029</v>
      </c>
      <c r="I1897" t="s">
        <v>209</v>
      </c>
    </row>
    <row r="1898" spans="1:9">
      <c r="A1898">
        <v>51897</v>
      </c>
      <c r="B1898">
        <v>3159</v>
      </c>
      <c r="C1898">
        <v>2009</v>
      </c>
      <c r="D1898" s="7">
        <v>46007</v>
      </c>
      <c r="E1898" t="s">
        <v>212</v>
      </c>
      <c r="F1898" t="s">
        <v>202</v>
      </c>
      <c r="G1898">
        <v>15</v>
      </c>
      <c r="H1898" s="7">
        <v>46021</v>
      </c>
      <c r="I1898" t="s">
        <v>216</v>
      </c>
    </row>
    <row r="1899" spans="1:9">
      <c r="A1899">
        <v>51898</v>
      </c>
      <c r="B1899">
        <v>3159</v>
      </c>
      <c r="C1899">
        <v>2009</v>
      </c>
      <c r="D1899" s="7">
        <v>46062</v>
      </c>
      <c r="E1899" t="s">
        <v>204</v>
      </c>
      <c r="F1899" t="s">
        <v>214</v>
      </c>
      <c r="H1899" s="7">
        <v>46083</v>
      </c>
      <c r="I1899" t="s">
        <v>209</v>
      </c>
    </row>
    <row r="1900" spans="1:9">
      <c r="A1900">
        <v>51899</v>
      </c>
      <c r="B1900">
        <v>3159</v>
      </c>
      <c r="C1900">
        <v>2009</v>
      </c>
      <c r="D1900" s="7">
        <v>46068</v>
      </c>
      <c r="E1900" t="s">
        <v>212</v>
      </c>
      <c r="F1900" t="s">
        <v>215</v>
      </c>
      <c r="G1900">
        <v>20</v>
      </c>
      <c r="H1900" s="7">
        <v>46082</v>
      </c>
      <c r="I1900" t="s">
        <v>207</v>
      </c>
    </row>
    <row r="1901" spans="1:9">
      <c r="A1901">
        <v>51900</v>
      </c>
      <c r="B1901">
        <v>3159</v>
      </c>
      <c r="C1901">
        <v>2009</v>
      </c>
      <c r="D1901" s="7">
        <v>46087</v>
      </c>
      <c r="E1901" t="s">
        <v>219</v>
      </c>
      <c r="F1901" t="s">
        <v>202</v>
      </c>
      <c r="G1901">
        <v>20</v>
      </c>
      <c r="H1901" s="7">
        <v>46117</v>
      </c>
      <c r="I1901" t="s">
        <v>217</v>
      </c>
    </row>
    <row r="1902" spans="1:9">
      <c r="A1902">
        <v>51901</v>
      </c>
      <c r="B1902">
        <v>3159</v>
      </c>
      <c r="C1902">
        <v>2009</v>
      </c>
      <c r="D1902" s="7">
        <v>46099</v>
      </c>
      <c r="E1902" t="s">
        <v>219</v>
      </c>
      <c r="F1902" t="s">
        <v>214</v>
      </c>
      <c r="H1902" s="7">
        <v>46106</v>
      </c>
      <c r="I1902" t="s">
        <v>206</v>
      </c>
    </row>
    <row r="1903" spans="1:9">
      <c r="A1903">
        <v>51902</v>
      </c>
      <c r="B1903">
        <v>3159</v>
      </c>
      <c r="C1903">
        <v>2009</v>
      </c>
      <c r="D1903" s="7">
        <v>46104</v>
      </c>
      <c r="E1903" t="s">
        <v>219</v>
      </c>
      <c r="F1903" t="s">
        <v>202</v>
      </c>
      <c r="G1903">
        <v>45</v>
      </c>
      <c r="H1903" s="7">
        <v>46107</v>
      </c>
      <c r="I1903" t="s">
        <v>207</v>
      </c>
    </row>
    <row r="1904" spans="1:9">
      <c r="A1904">
        <v>51903</v>
      </c>
      <c r="B1904">
        <v>3159</v>
      </c>
      <c r="C1904">
        <v>2009</v>
      </c>
      <c r="D1904" s="7">
        <v>46110</v>
      </c>
      <c r="E1904" t="s">
        <v>212</v>
      </c>
      <c r="F1904" t="s">
        <v>215</v>
      </c>
      <c r="G1904">
        <v>10</v>
      </c>
      <c r="H1904" s="7">
        <v>46113</v>
      </c>
      <c r="I1904" t="s">
        <v>217</v>
      </c>
    </row>
    <row r="1905" spans="1:9">
      <c r="A1905">
        <v>51904</v>
      </c>
      <c r="B1905">
        <v>3159</v>
      </c>
      <c r="C1905">
        <v>2009</v>
      </c>
      <c r="D1905" s="7">
        <v>46131</v>
      </c>
      <c r="E1905" t="s">
        <v>208</v>
      </c>
      <c r="F1905" t="s">
        <v>202</v>
      </c>
      <c r="G1905">
        <v>60</v>
      </c>
      <c r="H1905" s="7">
        <v>46134</v>
      </c>
      <c r="I1905" t="s">
        <v>217</v>
      </c>
    </row>
    <row r="1906" spans="1:9">
      <c r="A1906">
        <v>51905</v>
      </c>
      <c r="B1906">
        <v>3159</v>
      </c>
      <c r="C1906">
        <v>2009</v>
      </c>
      <c r="D1906" s="7">
        <v>46145</v>
      </c>
      <c r="E1906" t="s">
        <v>208</v>
      </c>
      <c r="F1906" t="s">
        <v>214</v>
      </c>
      <c r="H1906" s="7">
        <v>46148</v>
      </c>
      <c r="I1906" t="s">
        <v>209</v>
      </c>
    </row>
    <row r="1907" spans="1:9">
      <c r="A1907">
        <v>51906</v>
      </c>
      <c r="B1907">
        <v>3159</v>
      </c>
      <c r="C1907">
        <v>2009</v>
      </c>
      <c r="D1907" s="7">
        <v>46167</v>
      </c>
      <c r="E1907" t="s">
        <v>201</v>
      </c>
      <c r="F1907" t="s">
        <v>213</v>
      </c>
      <c r="H1907" s="7">
        <v>46181</v>
      </c>
      <c r="I1907" t="s">
        <v>216</v>
      </c>
    </row>
    <row r="1908" spans="1:9">
      <c r="A1908">
        <v>51907</v>
      </c>
      <c r="B1908">
        <v>3159</v>
      </c>
      <c r="C1908">
        <v>2009</v>
      </c>
      <c r="D1908" s="7">
        <v>46182</v>
      </c>
      <c r="E1908" t="s">
        <v>201</v>
      </c>
      <c r="F1908" t="s">
        <v>214</v>
      </c>
      <c r="H1908" s="7">
        <v>46212</v>
      </c>
      <c r="I1908" t="s">
        <v>206</v>
      </c>
    </row>
    <row r="1909" spans="1:9">
      <c r="A1909">
        <v>51908</v>
      </c>
      <c r="B1909">
        <v>3159</v>
      </c>
      <c r="C1909">
        <v>2009</v>
      </c>
      <c r="D1909" s="7">
        <v>46185</v>
      </c>
      <c r="E1909" t="s">
        <v>210</v>
      </c>
      <c r="F1909" t="s">
        <v>213</v>
      </c>
      <c r="H1909" s="7"/>
      <c r="I1909" t="s">
        <v>203</v>
      </c>
    </row>
    <row r="1910" spans="1:9">
      <c r="A1910">
        <v>51909</v>
      </c>
      <c r="B1910">
        <v>3160</v>
      </c>
      <c r="C1910">
        <v>2014</v>
      </c>
      <c r="D1910" s="7">
        <v>45408</v>
      </c>
      <c r="E1910" t="s">
        <v>212</v>
      </c>
      <c r="F1910" t="s">
        <v>202</v>
      </c>
      <c r="G1910">
        <v>15</v>
      </c>
      <c r="H1910" s="7">
        <v>45438</v>
      </c>
      <c r="I1910" t="s">
        <v>209</v>
      </c>
    </row>
    <row r="1911" spans="1:9">
      <c r="A1911">
        <v>51910</v>
      </c>
      <c r="B1911">
        <v>3160</v>
      </c>
      <c r="C1911">
        <v>2014</v>
      </c>
      <c r="D1911" s="7">
        <v>45485</v>
      </c>
      <c r="E1911" t="s">
        <v>201</v>
      </c>
      <c r="F1911" t="s">
        <v>202</v>
      </c>
      <c r="G1911">
        <v>20</v>
      </c>
      <c r="H1911" s="7">
        <v>45492</v>
      </c>
      <c r="I1911" t="s">
        <v>207</v>
      </c>
    </row>
    <row r="1912" spans="1:9">
      <c r="A1912">
        <v>51911</v>
      </c>
      <c r="B1912">
        <v>3160</v>
      </c>
      <c r="C1912">
        <v>2014</v>
      </c>
      <c r="D1912" s="7">
        <v>45587</v>
      </c>
      <c r="E1912" t="s">
        <v>204</v>
      </c>
      <c r="F1912" t="s">
        <v>202</v>
      </c>
      <c r="G1912">
        <v>30</v>
      </c>
      <c r="H1912" s="7">
        <v>45608</v>
      </c>
      <c r="I1912" t="s">
        <v>217</v>
      </c>
    </row>
    <row r="1913" spans="1:9">
      <c r="A1913">
        <v>51912</v>
      </c>
      <c r="B1913">
        <v>3160</v>
      </c>
      <c r="C1913">
        <v>2014</v>
      </c>
      <c r="D1913" s="7">
        <v>45716</v>
      </c>
      <c r="E1913" t="s">
        <v>210</v>
      </c>
      <c r="F1913" t="s">
        <v>202</v>
      </c>
      <c r="G1913">
        <v>90</v>
      </c>
      <c r="H1913" s="7">
        <v>45719</v>
      </c>
      <c r="I1913" t="s">
        <v>209</v>
      </c>
    </row>
    <row r="1914" spans="1:9">
      <c r="A1914">
        <v>51913</v>
      </c>
      <c r="B1914">
        <v>3160</v>
      </c>
      <c r="C1914">
        <v>2014</v>
      </c>
      <c r="D1914" s="7">
        <v>45792</v>
      </c>
      <c r="E1914" t="s">
        <v>212</v>
      </c>
      <c r="F1914" t="s">
        <v>202</v>
      </c>
      <c r="G1914">
        <v>15</v>
      </c>
      <c r="H1914" s="7">
        <v>45795</v>
      </c>
      <c r="I1914" t="s">
        <v>216</v>
      </c>
    </row>
    <row r="1915" spans="1:9">
      <c r="A1915">
        <v>51914</v>
      </c>
      <c r="B1915">
        <v>3160</v>
      </c>
      <c r="C1915">
        <v>2014</v>
      </c>
      <c r="D1915" s="7">
        <v>46196</v>
      </c>
      <c r="E1915" t="s">
        <v>210</v>
      </c>
      <c r="F1915" t="s">
        <v>215</v>
      </c>
      <c r="G1915">
        <v>30</v>
      </c>
      <c r="H1915" s="7"/>
      <c r="I1915" t="s">
        <v>216</v>
      </c>
    </row>
    <row r="1916" spans="1:9">
      <c r="A1916">
        <v>51915</v>
      </c>
      <c r="B1916">
        <v>3161</v>
      </c>
      <c r="C1916">
        <v>2017</v>
      </c>
      <c r="D1916" s="7">
        <v>45829</v>
      </c>
      <c r="E1916" t="s">
        <v>212</v>
      </c>
      <c r="F1916" t="s">
        <v>202</v>
      </c>
      <c r="G1916">
        <v>10</v>
      </c>
      <c r="H1916" s="7">
        <v>45836</v>
      </c>
      <c r="I1916" t="s">
        <v>216</v>
      </c>
    </row>
    <row r="1917" spans="1:9">
      <c r="A1917">
        <v>51916</v>
      </c>
      <c r="B1917">
        <v>3161</v>
      </c>
      <c r="C1917">
        <v>2017</v>
      </c>
      <c r="D1917" s="7">
        <v>45829</v>
      </c>
      <c r="E1917" t="s">
        <v>208</v>
      </c>
      <c r="F1917" t="s">
        <v>202</v>
      </c>
      <c r="G1917">
        <v>45</v>
      </c>
      <c r="H1917" s="7">
        <v>45850</v>
      </c>
      <c r="I1917" t="s">
        <v>203</v>
      </c>
    </row>
    <row r="1918" spans="1:9">
      <c r="A1918">
        <v>51917</v>
      </c>
      <c r="B1918">
        <v>3161</v>
      </c>
      <c r="C1918">
        <v>2017</v>
      </c>
      <c r="D1918" s="7">
        <v>45837</v>
      </c>
      <c r="E1918" t="s">
        <v>219</v>
      </c>
      <c r="F1918" t="s">
        <v>215</v>
      </c>
      <c r="G1918">
        <v>45</v>
      </c>
      <c r="H1918" s="7">
        <v>45858</v>
      </c>
      <c r="I1918" t="s">
        <v>206</v>
      </c>
    </row>
    <row r="1919" spans="1:9">
      <c r="A1919">
        <v>51918</v>
      </c>
      <c r="B1919">
        <v>3161</v>
      </c>
      <c r="C1919">
        <v>2017</v>
      </c>
      <c r="D1919" s="7">
        <v>45871</v>
      </c>
      <c r="E1919" t="s">
        <v>204</v>
      </c>
      <c r="F1919" t="s">
        <v>205</v>
      </c>
      <c r="H1919" s="7"/>
      <c r="I1919" t="s">
        <v>207</v>
      </c>
    </row>
    <row r="1920" spans="1:9">
      <c r="A1920">
        <v>51919</v>
      </c>
      <c r="B1920">
        <v>3161</v>
      </c>
      <c r="C1920">
        <v>2017</v>
      </c>
      <c r="D1920" s="7">
        <v>45874</v>
      </c>
      <c r="E1920" t="s">
        <v>212</v>
      </c>
      <c r="F1920" t="s">
        <v>202</v>
      </c>
      <c r="G1920">
        <v>45</v>
      </c>
      <c r="H1920" s="7">
        <v>45904</v>
      </c>
      <c r="I1920" t="s">
        <v>207</v>
      </c>
    </row>
    <row r="1921" spans="1:9">
      <c r="A1921">
        <v>51920</v>
      </c>
      <c r="B1921">
        <v>3161</v>
      </c>
      <c r="C1921">
        <v>2017</v>
      </c>
      <c r="D1921" s="7">
        <v>45916</v>
      </c>
      <c r="E1921" t="s">
        <v>212</v>
      </c>
      <c r="F1921" t="s">
        <v>202</v>
      </c>
      <c r="G1921">
        <v>20</v>
      </c>
      <c r="H1921" s="7">
        <v>45946</v>
      </c>
      <c r="I1921" t="s">
        <v>216</v>
      </c>
    </row>
    <row r="1922" spans="1:9">
      <c r="A1922">
        <v>51921</v>
      </c>
      <c r="B1922">
        <v>3161</v>
      </c>
      <c r="C1922">
        <v>2017</v>
      </c>
      <c r="D1922" s="7">
        <v>45938</v>
      </c>
      <c r="E1922" t="s">
        <v>204</v>
      </c>
      <c r="F1922" t="s">
        <v>214</v>
      </c>
      <c r="H1922" s="7">
        <v>45945</v>
      </c>
      <c r="I1922" t="s">
        <v>217</v>
      </c>
    </row>
    <row r="1923" spans="1:9">
      <c r="A1923">
        <v>51922</v>
      </c>
      <c r="B1923">
        <v>3161</v>
      </c>
      <c r="C1923">
        <v>2017</v>
      </c>
      <c r="D1923" s="7">
        <v>45940</v>
      </c>
      <c r="E1923" t="s">
        <v>212</v>
      </c>
      <c r="F1923" t="s">
        <v>202</v>
      </c>
      <c r="G1923">
        <v>20</v>
      </c>
      <c r="H1923" s="7">
        <v>45970</v>
      </c>
      <c r="I1923" t="s">
        <v>209</v>
      </c>
    </row>
    <row r="1924" spans="1:9">
      <c r="A1924">
        <v>51923</v>
      </c>
      <c r="B1924">
        <v>3161</v>
      </c>
      <c r="C1924">
        <v>2017</v>
      </c>
      <c r="D1924" s="7">
        <v>46146</v>
      </c>
      <c r="E1924" t="s">
        <v>204</v>
      </c>
      <c r="F1924" t="s">
        <v>213</v>
      </c>
      <c r="H1924" s="7">
        <v>46153</v>
      </c>
      <c r="I1924" t="s">
        <v>216</v>
      </c>
    </row>
    <row r="1925" spans="1:9">
      <c r="A1925">
        <v>51924</v>
      </c>
      <c r="B1925">
        <v>3161</v>
      </c>
      <c r="C1925">
        <v>2017</v>
      </c>
      <c r="D1925" s="7">
        <v>46168</v>
      </c>
      <c r="E1925" t="s">
        <v>210</v>
      </c>
      <c r="F1925" t="s">
        <v>215</v>
      </c>
      <c r="G1925">
        <v>30</v>
      </c>
      <c r="H1925" s="7">
        <v>46198</v>
      </c>
      <c r="I1925" t="s">
        <v>209</v>
      </c>
    </row>
    <row r="1926" spans="1:9">
      <c r="A1926">
        <v>51925</v>
      </c>
      <c r="B1926">
        <v>3161</v>
      </c>
      <c r="C1926">
        <v>2017</v>
      </c>
      <c r="D1926" s="7">
        <v>46206</v>
      </c>
      <c r="E1926" t="s">
        <v>212</v>
      </c>
      <c r="F1926" t="s">
        <v>202</v>
      </c>
      <c r="G1926">
        <v>60</v>
      </c>
      <c r="H1926" s="7">
        <v>46209</v>
      </c>
      <c r="I1926" t="s">
        <v>216</v>
      </c>
    </row>
    <row r="1927" spans="1:9">
      <c r="A1927">
        <v>51926</v>
      </c>
      <c r="B1927">
        <v>3162</v>
      </c>
      <c r="C1927">
        <v>2012</v>
      </c>
      <c r="D1927" s="7">
        <v>45697</v>
      </c>
      <c r="E1927" t="s">
        <v>210</v>
      </c>
      <c r="F1927" t="s">
        <v>214</v>
      </c>
      <c r="H1927" s="7">
        <v>45727</v>
      </c>
      <c r="I1927" t="s">
        <v>211</v>
      </c>
    </row>
    <row r="1928" spans="1:9">
      <c r="A1928">
        <v>51927</v>
      </c>
      <c r="B1928">
        <v>3162</v>
      </c>
      <c r="C1928">
        <v>2012</v>
      </c>
      <c r="D1928" s="7">
        <v>45709</v>
      </c>
      <c r="E1928" t="s">
        <v>219</v>
      </c>
      <c r="F1928" t="s">
        <v>202</v>
      </c>
      <c r="G1928">
        <v>10</v>
      </c>
      <c r="H1928" s="7">
        <v>45712</v>
      </c>
      <c r="I1928" t="s">
        <v>217</v>
      </c>
    </row>
    <row r="1929" spans="1:9">
      <c r="A1929">
        <v>51928</v>
      </c>
      <c r="B1929">
        <v>3162</v>
      </c>
      <c r="C1929">
        <v>2012</v>
      </c>
      <c r="D1929" s="7">
        <v>45740</v>
      </c>
      <c r="E1929" t="s">
        <v>201</v>
      </c>
      <c r="F1929" t="s">
        <v>202</v>
      </c>
      <c r="G1929">
        <v>30</v>
      </c>
      <c r="H1929" s="7">
        <v>45743</v>
      </c>
      <c r="I1929" t="s">
        <v>211</v>
      </c>
    </row>
    <row r="1930" spans="1:9">
      <c r="A1930">
        <v>51929</v>
      </c>
      <c r="B1930">
        <v>3162</v>
      </c>
      <c r="C1930">
        <v>2012</v>
      </c>
      <c r="D1930" s="7">
        <v>45811</v>
      </c>
      <c r="E1930" t="s">
        <v>208</v>
      </c>
      <c r="F1930" t="s">
        <v>202</v>
      </c>
      <c r="G1930">
        <v>15</v>
      </c>
      <c r="H1930" s="7">
        <v>45841</v>
      </c>
      <c r="I1930" t="s">
        <v>211</v>
      </c>
    </row>
    <row r="1931" spans="1:9">
      <c r="A1931">
        <v>51930</v>
      </c>
      <c r="B1931">
        <v>3162</v>
      </c>
      <c r="C1931">
        <v>2012</v>
      </c>
      <c r="D1931" s="7">
        <v>45861</v>
      </c>
      <c r="E1931" t="s">
        <v>219</v>
      </c>
      <c r="F1931" t="s">
        <v>202</v>
      </c>
      <c r="G1931">
        <v>45</v>
      </c>
      <c r="H1931" s="7">
        <v>45864</v>
      </c>
      <c r="I1931" t="s">
        <v>216</v>
      </c>
    </row>
    <row r="1932" spans="1:9">
      <c r="A1932">
        <v>51931</v>
      </c>
      <c r="B1932">
        <v>3162</v>
      </c>
      <c r="C1932">
        <v>2012</v>
      </c>
      <c r="D1932" s="7">
        <v>45903</v>
      </c>
      <c r="E1932" t="s">
        <v>204</v>
      </c>
      <c r="F1932" t="s">
        <v>215</v>
      </c>
      <c r="G1932">
        <v>60</v>
      </c>
      <c r="H1932" s="7">
        <v>45924</v>
      </c>
      <c r="I1932" t="s">
        <v>211</v>
      </c>
    </row>
    <row r="1933" spans="1:9">
      <c r="A1933">
        <v>51932</v>
      </c>
      <c r="B1933">
        <v>3162</v>
      </c>
      <c r="C1933">
        <v>2012</v>
      </c>
      <c r="D1933" s="7">
        <v>45914</v>
      </c>
      <c r="E1933" t="s">
        <v>201</v>
      </c>
      <c r="F1933" t="s">
        <v>214</v>
      </c>
      <c r="H1933" s="7">
        <v>45928</v>
      </c>
      <c r="I1933" t="s">
        <v>211</v>
      </c>
    </row>
    <row r="1934" spans="1:9">
      <c r="A1934">
        <v>51933</v>
      </c>
      <c r="B1934">
        <v>3162</v>
      </c>
      <c r="C1934">
        <v>2012</v>
      </c>
      <c r="D1934" s="7">
        <v>46048</v>
      </c>
      <c r="E1934" t="s">
        <v>201</v>
      </c>
      <c r="F1934" t="s">
        <v>205</v>
      </c>
      <c r="H1934" s="7"/>
      <c r="I1934" t="s">
        <v>211</v>
      </c>
    </row>
    <row r="1935" spans="1:9">
      <c r="A1935">
        <v>51934</v>
      </c>
      <c r="B1935">
        <v>3162</v>
      </c>
      <c r="C1935">
        <v>2012</v>
      </c>
      <c r="D1935" s="7">
        <v>46082</v>
      </c>
      <c r="E1935" t="s">
        <v>204</v>
      </c>
      <c r="F1935" t="s">
        <v>205</v>
      </c>
      <c r="H1935" s="7"/>
      <c r="I1935" t="s">
        <v>211</v>
      </c>
    </row>
    <row r="1936" spans="1:9">
      <c r="A1936">
        <v>51935</v>
      </c>
      <c r="B1936">
        <v>3162</v>
      </c>
      <c r="C1936">
        <v>2012</v>
      </c>
      <c r="D1936" s="7">
        <v>46137</v>
      </c>
      <c r="E1936" t="s">
        <v>212</v>
      </c>
      <c r="F1936" t="s">
        <v>202</v>
      </c>
      <c r="G1936">
        <v>90</v>
      </c>
      <c r="H1936" s="7">
        <v>46158</v>
      </c>
      <c r="I1936" t="s">
        <v>203</v>
      </c>
    </row>
    <row r="1937" spans="1:9">
      <c r="A1937">
        <v>51936</v>
      </c>
      <c r="B1937">
        <v>3162</v>
      </c>
      <c r="C1937">
        <v>2012</v>
      </c>
      <c r="D1937" s="7">
        <v>46155</v>
      </c>
      <c r="E1937" t="s">
        <v>210</v>
      </c>
      <c r="F1937" t="s">
        <v>202</v>
      </c>
      <c r="G1937">
        <v>10</v>
      </c>
      <c r="H1937" s="7">
        <v>46185</v>
      </c>
      <c r="I1937" t="s">
        <v>203</v>
      </c>
    </row>
    <row r="1938" spans="1:9">
      <c r="A1938">
        <v>51937</v>
      </c>
      <c r="B1938">
        <v>3163</v>
      </c>
      <c r="C1938">
        <v>2018</v>
      </c>
      <c r="D1938" s="7">
        <v>46004</v>
      </c>
      <c r="E1938" t="s">
        <v>212</v>
      </c>
      <c r="F1938" t="s">
        <v>213</v>
      </c>
      <c r="H1938" s="7">
        <v>46034</v>
      </c>
      <c r="I1938" t="s">
        <v>209</v>
      </c>
    </row>
    <row r="1939" spans="1:9">
      <c r="A1939">
        <v>51938</v>
      </c>
      <c r="B1939">
        <v>3163</v>
      </c>
      <c r="C1939">
        <v>2018</v>
      </c>
      <c r="D1939" s="7">
        <v>46019</v>
      </c>
      <c r="E1939" t="s">
        <v>219</v>
      </c>
      <c r="F1939" t="s">
        <v>205</v>
      </c>
      <c r="H1939" s="7"/>
      <c r="I1939" t="s">
        <v>217</v>
      </c>
    </row>
    <row r="1940" spans="1:9">
      <c r="A1940">
        <v>51939</v>
      </c>
      <c r="B1940">
        <v>3163</v>
      </c>
      <c r="C1940">
        <v>2018</v>
      </c>
      <c r="D1940" s="7">
        <v>46022</v>
      </c>
      <c r="E1940" t="s">
        <v>204</v>
      </c>
      <c r="F1940" t="s">
        <v>202</v>
      </c>
      <c r="G1940">
        <v>90</v>
      </c>
      <c r="H1940" s="7">
        <v>46025</v>
      </c>
      <c r="I1940" t="s">
        <v>206</v>
      </c>
    </row>
    <row r="1941" spans="1:9">
      <c r="A1941">
        <v>51940</v>
      </c>
      <c r="B1941">
        <v>3163</v>
      </c>
      <c r="C1941">
        <v>2018</v>
      </c>
      <c r="D1941" s="7">
        <v>46023</v>
      </c>
      <c r="E1941" t="s">
        <v>210</v>
      </c>
      <c r="F1941" t="s">
        <v>214</v>
      </c>
      <c r="H1941" s="7">
        <v>46053</v>
      </c>
      <c r="I1941" t="s">
        <v>203</v>
      </c>
    </row>
    <row r="1942" spans="1:9">
      <c r="A1942">
        <v>51941</v>
      </c>
      <c r="B1942">
        <v>3163</v>
      </c>
      <c r="C1942">
        <v>2018</v>
      </c>
      <c r="D1942" s="7">
        <v>46078</v>
      </c>
      <c r="E1942" t="s">
        <v>212</v>
      </c>
      <c r="F1942" t="s">
        <v>202</v>
      </c>
      <c r="G1942">
        <v>60</v>
      </c>
      <c r="H1942" s="7">
        <v>46081</v>
      </c>
      <c r="I1942" t="s">
        <v>216</v>
      </c>
    </row>
    <row r="1943" spans="1:9">
      <c r="A1943">
        <v>51942</v>
      </c>
      <c r="B1943">
        <v>3163</v>
      </c>
      <c r="C1943">
        <v>2018</v>
      </c>
      <c r="D1943" s="7">
        <v>46086</v>
      </c>
      <c r="E1943" t="s">
        <v>212</v>
      </c>
      <c r="F1943" t="s">
        <v>214</v>
      </c>
      <c r="H1943" s="7">
        <v>46107</v>
      </c>
      <c r="I1943" t="s">
        <v>206</v>
      </c>
    </row>
    <row r="1944" spans="1:9">
      <c r="A1944">
        <v>51943</v>
      </c>
      <c r="B1944">
        <v>3163</v>
      </c>
      <c r="C1944">
        <v>2018</v>
      </c>
      <c r="D1944" s="7">
        <v>46121</v>
      </c>
      <c r="E1944" t="s">
        <v>201</v>
      </c>
      <c r="F1944" t="s">
        <v>202</v>
      </c>
      <c r="G1944">
        <v>30</v>
      </c>
      <c r="H1944" s="7">
        <v>46151</v>
      </c>
      <c r="I1944" t="s">
        <v>217</v>
      </c>
    </row>
    <row r="1945" spans="1:9">
      <c r="A1945">
        <v>51944</v>
      </c>
      <c r="B1945">
        <v>3163</v>
      </c>
      <c r="C1945">
        <v>2018</v>
      </c>
      <c r="D1945" s="7">
        <v>46122</v>
      </c>
      <c r="E1945" t="s">
        <v>219</v>
      </c>
      <c r="F1945" t="s">
        <v>202</v>
      </c>
      <c r="G1945">
        <v>10</v>
      </c>
      <c r="H1945" s="7">
        <v>46136</v>
      </c>
      <c r="I1945" t="s">
        <v>211</v>
      </c>
    </row>
    <row r="1946" spans="1:9">
      <c r="A1946">
        <v>51945</v>
      </c>
      <c r="B1946">
        <v>3163</v>
      </c>
      <c r="C1946">
        <v>2018</v>
      </c>
      <c r="D1946" s="7">
        <v>46126</v>
      </c>
      <c r="E1946" t="s">
        <v>210</v>
      </c>
      <c r="F1946" t="s">
        <v>218</v>
      </c>
      <c r="H1946" s="7"/>
      <c r="I1946" t="s">
        <v>206</v>
      </c>
    </row>
    <row r="1947" spans="1:9">
      <c r="A1947">
        <v>51946</v>
      </c>
      <c r="B1947">
        <v>3163</v>
      </c>
      <c r="C1947">
        <v>2018</v>
      </c>
      <c r="D1947" s="7">
        <v>46143</v>
      </c>
      <c r="E1947" t="s">
        <v>201</v>
      </c>
      <c r="F1947" t="s">
        <v>202</v>
      </c>
      <c r="G1947">
        <v>30</v>
      </c>
      <c r="H1947" s="7">
        <v>46146</v>
      </c>
      <c r="I1947" t="s">
        <v>203</v>
      </c>
    </row>
    <row r="1948" spans="1:9">
      <c r="A1948">
        <v>51947</v>
      </c>
      <c r="B1948">
        <v>3163</v>
      </c>
      <c r="C1948">
        <v>2018</v>
      </c>
      <c r="D1948" s="7">
        <v>46145</v>
      </c>
      <c r="E1948" t="s">
        <v>204</v>
      </c>
      <c r="F1948" t="s">
        <v>215</v>
      </c>
      <c r="G1948">
        <v>10</v>
      </c>
      <c r="H1948" s="7">
        <v>46166</v>
      </c>
      <c r="I1948" t="s">
        <v>211</v>
      </c>
    </row>
    <row r="1949" spans="1:9">
      <c r="A1949">
        <v>51948</v>
      </c>
      <c r="B1949">
        <v>3163</v>
      </c>
      <c r="C1949">
        <v>2018</v>
      </c>
      <c r="D1949" s="7">
        <v>46165</v>
      </c>
      <c r="E1949" t="s">
        <v>212</v>
      </c>
      <c r="F1949" t="s">
        <v>202</v>
      </c>
      <c r="G1949">
        <v>15</v>
      </c>
      <c r="H1949" s="7">
        <v>46179</v>
      </c>
      <c r="I1949" t="s">
        <v>209</v>
      </c>
    </row>
    <row r="1950" spans="1:9">
      <c r="A1950">
        <v>51949</v>
      </c>
      <c r="B1950">
        <v>3163</v>
      </c>
      <c r="C1950">
        <v>2018</v>
      </c>
      <c r="D1950" s="7">
        <v>46167</v>
      </c>
      <c r="E1950" t="s">
        <v>212</v>
      </c>
      <c r="F1950" t="s">
        <v>215</v>
      </c>
      <c r="G1950">
        <v>60</v>
      </c>
      <c r="H1950" s="7">
        <v>46181</v>
      </c>
      <c r="I1950" t="s">
        <v>203</v>
      </c>
    </row>
    <row r="1951" spans="1:9">
      <c r="A1951">
        <v>51950</v>
      </c>
      <c r="B1951">
        <v>3163</v>
      </c>
      <c r="C1951">
        <v>2018</v>
      </c>
      <c r="D1951" s="7">
        <v>46186</v>
      </c>
      <c r="E1951" t="s">
        <v>204</v>
      </c>
      <c r="F1951" t="s">
        <v>215</v>
      </c>
      <c r="G1951">
        <v>45</v>
      </c>
      <c r="H1951" s="7">
        <v>46200</v>
      </c>
      <c r="I1951" t="s">
        <v>217</v>
      </c>
    </row>
    <row r="1952" spans="1:9">
      <c r="A1952">
        <v>51951</v>
      </c>
      <c r="B1952">
        <v>3163</v>
      </c>
      <c r="C1952">
        <v>2018</v>
      </c>
      <c r="D1952" s="7">
        <v>46195</v>
      </c>
      <c r="E1952" t="s">
        <v>219</v>
      </c>
      <c r="F1952" t="s">
        <v>202</v>
      </c>
      <c r="G1952">
        <v>60</v>
      </c>
      <c r="H1952" s="7"/>
      <c r="I1952" t="s">
        <v>207</v>
      </c>
    </row>
    <row r="1953" spans="1:9">
      <c r="A1953">
        <v>51952</v>
      </c>
      <c r="B1953">
        <v>3164</v>
      </c>
      <c r="C1953">
        <v>2018</v>
      </c>
      <c r="D1953" s="7">
        <v>45829</v>
      </c>
      <c r="E1953" t="s">
        <v>212</v>
      </c>
      <c r="F1953" t="s">
        <v>202</v>
      </c>
      <c r="G1953">
        <v>30</v>
      </c>
      <c r="H1953" s="7">
        <v>45836</v>
      </c>
      <c r="I1953" t="s">
        <v>211</v>
      </c>
    </row>
    <row r="1954" spans="1:9">
      <c r="A1954">
        <v>51953</v>
      </c>
      <c r="B1954">
        <v>3164</v>
      </c>
      <c r="C1954">
        <v>2018</v>
      </c>
      <c r="D1954" s="7">
        <v>45837</v>
      </c>
      <c r="E1954" t="s">
        <v>210</v>
      </c>
      <c r="F1954" t="s">
        <v>202</v>
      </c>
      <c r="G1954">
        <v>45</v>
      </c>
      <c r="H1954" s="7">
        <v>45867</v>
      </c>
      <c r="I1954" t="s">
        <v>217</v>
      </c>
    </row>
    <row r="1955" spans="1:9">
      <c r="A1955">
        <v>51954</v>
      </c>
      <c r="B1955">
        <v>3164</v>
      </c>
      <c r="C1955">
        <v>2018</v>
      </c>
      <c r="D1955" s="7">
        <v>45870</v>
      </c>
      <c r="E1955" t="s">
        <v>219</v>
      </c>
      <c r="F1955" t="s">
        <v>218</v>
      </c>
      <c r="H1955" s="7"/>
      <c r="I1955" t="s">
        <v>217</v>
      </c>
    </row>
    <row r="1956" spans="1:9">
      <c r="A1956">
        <v>51955</v>
      </c>
      <c r="B1956">
        <v>3164</v>
      </c>
      <c r="C1956">
        <v>2018</v>
      </c>
      <c r="D1956" s="7">
        <v>45885</v>
      </c>
      <c r="E1956" t="s">
        <v>219</v>
      </c>
      <c r="F1956" t="s">
        <v>205</v>
      </c>
      <c r="H1956" s="7"/>
      <c r="I1956" t="s">
        <v>209</v>
      </c>
    </row>
    <row r="1957" spans="1:9">
      <c r="A1957">
        <v>51956</v>
      </c>
      <c r="B1957">
        <v>3164</v>
      </c>
      <c r="C1957">
        <v>2018</v>
      </c>
      <c r="D1957" s="7">
        <v>45985</v>
      </c>
      <c r="E1957" t="s">
        <v>210</v>
      </c>
      <c r="F1957" t="s">
        <v>213</v>
      </c>
      <c r="H1957" s="7">
        <v>45988</v>
      </c>
      <c r="I1957" t="s">
        <v>216</v>
      </c>
    </row>
    <row r="1958" spans="1:9">
      <c r="A1958">
        <v>51957</v>
      </c>
      <c r="B1958">
        <v>3164</v>
      </c>
      <c r="C1958">
        <v>2018</v>
      </c>
      <c r="D1958" s="7">
        <v>45986</v>
      </c>
      <c r="E1958" t="s">
        <v>212</v>
      </c>
      <c r="F1958" t="s">
        <v>213</v>
      </c>
      <c r="H1958" s="7">
        <v>46007</v>
      </c>
      <c r="I1958" t="s">
        <v>203</v>
      </c>
    </row>
    <row r="1959" spans="1:9">
      <c r="A1959">
        <v>51958</v>
      </c>
      <c r="B1959">
        <v>3164</v>
      </c>
      <c r="C1959">
        <v>2018</v>
      </c>
      <c r="D1959" s="7">
        <v>45996</v>
      </c>
      <c r="E1959" t="s">
        <v>212</v>
      </c>
      <c r="F1959" t="s">
        <v>202</v>
      </c>
      <c r="G1959">
        <v>10</v>
      </c>
      <c r="H1959" s="7">
        <v>45999</v>
      </c>
      <c r="I1959" t="s">
        <v>207</v>
      </c>
    </row>
    <row r="1960" spans="1:9">
      <c r="A1960">
        <v>51959</v>
      </c>
      <c r="B1960">
        <v>3164</v>
      </c>
      <c r="C1960">
        <v>2018</v>
      </c>
      <c r="D1960" s="7">
        <v>46032</v>
      </c>
      <c r="E1960" t="s">
        <v>208</v>
      </c>
      <c r="F1960" t="s">
        <v>215</v>
      </c>
      <c r="G1960">
        <v>10</v>
      </c>
      <c r="H1960" s="7">
        <v>46046</v>
      </c>
      <c r="I1960" t="s">
        <v>211</v>
      </c>
    </row>
    <row r="1961" spans="1:9">
      <c r="A1961">
        <v>51960</v>
      </c>
      <c r="B1961">
        <v>3164</v>
      </c>
      <c r="C1961">
        <v>2018</v>
      </c>
      <c r="D1961" s="7">
        <v>46039</v>
      </c>
      <c r="E1961" t="s">
        <v>212</v>
      </c>
      <c r="F1961" t="s">
        <v>202</v>
      </c>
      <c r="G1961">
        <v>15</v>
      </c>
      <c r="H1961" s="7">
        <v>46069</v>
      </c>
      <c r="I1961" t="s">
        <v>216</v>
      </c>
    </row>
    <row r="1962" spans="1:9">
      <c r="A1962">
        <v>51961</v>
      </c>
      <c r="B1962">
        <v>3164</v>
      </c>
      <c r="C1962">
        <v>2018</v>
      </c>
      <c r="D1962" s="7">
        <v>46054</v>
      </c>
      <c r="E1962" t="s">
        <v>212</v>
      </c>
      <c r="F1962" t="s">
        <v>202</v>
      </c>
      <c r="G1962">
        <v>60</v>
      </c>
      <c r="H1962" s="7">
        <v>46068</v>
      </c>
      <c r="I1962" t="s">
        <v>211</v>
      </c>
    </row>
    <row r="1963" spans="1:9">
      <c r="A1963">
        <v>51962</v>
      </c>
      <c r="B1963">
        <v>3164</v>
      </c>
      <c r="C1963">
        <v>2018</v>
      </c>
      <c r="D1963" s="7">
        <v>46059</v>
      </c>
      <c r="E1963" t="s">
        <v>210</v>
      </c>
      <c r="F1963" t="s">
        <v>214</v>
      </c>
      <c r="H1963" s="7">
        <v>46080</v>
      </c>
      <c r="I1963" t="s">
        <v>217</v>
      </c>
    </row>
    <row r="1964" spans="1:9">
      <c r="A1964">
        <v>51963</v>
      </c>
      <c r="B1964">
        <v>3164</v>
      </c>
      <c r="C1964">
        <v>2018</v>
      </c>
      <c r="D1964" s="7">
        <v>46073</v>
      </c>
      <c r="E1964" t="s">
        <v>212</v>
      </c>
      <c r="F1964" t="s">
        <v>202</v>
      </c>
      <c r="G1964">
        <v>60</v>
      </c>
      <c r="H1964" s="7">
        <v>46080</v>
      </c>
      <c r="I1964" t="s">
        <v>209</v>
      </c>
    </row>
    <row r="1965" spans="1:9">
      <c r="A1965">
        <v>51964</v>
      </c>
      <c r="B1965">
        <v>3164</v>
      </c>
      <c r="C1965">
        <v>2018</v>
      </c>
      <c r="D1965" s="7">
        <v>46120</v>
      </c>
      <c r="E1965" t="s">
        <v>212</v>
      </c>
      <c r="F1965" t="s">
        <v>202</v>
      </c>
      <c r="G1965">
        <v>45</v>
      </c>
      <c r="H1965" s="7">
        <v>46123</v>
      </c>
      <c r="I1965" t="s">
        <v>217</v>
      </c>
    </row>
    <row r="1966" spans="1:9">
      <c r="A1966">
        <v>51965</v>
      </c>
      <c r="B1966">
        <v>3164</v>
      </c>
      <c r="C1966">
        <v>2018</v>
      </c>
      <c r="D1966" s="7">
        <v>46126</v>
      </c>
      <c r="E1966" t="s">
        <v>219</v>
      </c>
      <c r="F1966" t="s">
        <v>214</v>
      </c>
      <c r="H1966" s="7">
        <v>46147</v>
      </c>
      <c r="I1966" t="s">
        <v>211</v>
      </c>
    </row>
    <row r="1967" spans="1:9">
      <c r="A1967">
        <v>51966</v>
      </c>
      <c r="B1967">
        <v>3164</v>
      </c>
      <c r="C1967">
        <v>2018</v>
      </c>
      <c r="D1967" s="7">
        <v>46135</v>
      </c>
      <c r="E1967" t="s">
        <v>212</v>
      </c>
      <c r="F1967" t="s">
        <v>215</v>
      </c>
      <c r="G1967">
        <v>10</v>
      </c>
      <c r="H1967" s="7">
        <v>46138</v>
      </c>
      <c r="I1967" t="s">
        <v>203</v>
      </c>
    </row>
    <row r="1968" spans="1:9">
      <c r="A1968">
        <v>51967</v>
      </c>
      <c r="B1968">
        <v>3164</v>
      </c>
      <c r="C1968">
        <v>2018</v>
      </c>
      <c r="D1968" s="7">
        <v>46142</v>
      </c>
      <c r="E1968" t="s">
        <v>219</v>
      </c>
      <c r="F1968" t="s">
        <v>202</v>
      </c>
      <c r="G1968">
        <v>30</v>
      </c>
      <c r="H1968" s="7">
        <v>46163</v>
      </c>
      <c r="I1968" t="s">
        <v>216</v>
      </c>
    </row>
    <row r="1969" spans="1:9">
      <c r="A1969">
        <v>51968</v>
      </c>
      <c r="B1969">
        <v>3165</v>
      </c>
      <c r="C1969">
        <v>2018</v>
      </c>
      <c r="D1969" s="7">
        <v>45759</v>
      </c>
      <c r="E1969" t="s">
        <v>219</v>
      </c>
      <c r="F1969" t="s">
        <v>202</v>
      </c>
      <c r="G1969">
        <v>90</v>
      </c>
      <c r="H1969" s="7">
        <v>45773</v>
      </c>
      <c r="I1969" t="s">
        <v>216</v>
      </c>
    </row>
    <row r="1970" spans="1:9">
      <c r="A1970">
        <v>51969</v>
      </c>
      <c r="B1970">
        <v>3165</v>
      </c>
      <c r="C1970">
        <v>2018</v>
      </c>
      <c r="D1970" s="7">
        <v>45774</v>
      </c>
      <c r="E1970" t="s">
        <v>212</v>
      </c>
      <c r="F1970" t="s">
        <v>202</v>
      </c>
      <c r="G1970">
        <v>20</v>
      </c>
      <c r="H1970" s="7">
        <v>45804</v>
      </c>
      <c r="I1970" t="s">
        <v>217</v>
      </c>
    </row>
    <row r="1971" spans="1:9">
      <c r="A1971">
        <v>51970</v>
      </c>
      <c r="B1971">
        <v>3165</v>
      </c>
      <c r="C1971">
        <v>2018</v>
      </c>
      <c r="D1971" s="7">
        <v>45795</v>
      </c>
      <c r="E1971" t="s">
        <v>212</v>
      </c>
      <c r="F1971" t="s">
        <v>202</v>
      </c>
      <c r="G1971">
        <v>10</v>
      </c>
      <c r="H1971" s="7">
        <v>45798</v>
      </c>
      <c r="I1971" t="s">
        <v>216</v>
      </c>
    </row>
    <row r="1972" spans="1:9">
      <c r="A1972">
        <v>51971</v>
      </c>
      <c r="B1972">
        <v>3165</v>
      </c>
      <c r="C1972">
        <v>2018</v>
      </c>
      <c r="D1972" s="7">
        <v>45807</v>
      </c>
      <c r="E1972" t="s">
        <v>210</v>
      </c>
      <c r="F1972" t="s">
        <v>214</v>
      </c>
      <c r="H1972" s="7">
        <v>45814</v>
      </c>
      <c r="I1972" t="s">
        <v>203</v>
      </c>
    </row>
    <row r="1973" spans="1:9">
      <c r="A1973">
        <v>51972</v>
      </c>
      <c r="B1973">
        <v>3165</v>
      </c>
      <c r="C1973">
        <v>2018</v>
      </c>
      <c r="D1973" s="7">
        <v>45826</v>
      </c>
      <c r="E1973" t="s">
        <v>208</v>
      </c>
      <c r="F1973" t="s">
        <v>202</v>
      </c>
      <c r="G1973">
        <v>15</v>
      </c>
      <c r="H1973" s="7">
        <v>45847</v>
      </c>
      <c r="I1973" t="s">
        <v>209</v>
      </c>
    </row>
    <row r="1974" spans="1:9">
      <c r="A1974">
        <v>51973</v>
      </c>
      <c r="B1974">
        <v>3165</v>
      </c>
      <c r="C1974">
        <v>2018</v>
      </c>
      <c r="D1974" s="7">
        <v>45853</v>
      </c>
      <c r="E1974" t="s">
        <v>212</v>
      </c>
      <c r="F1974" t="s">
        <v>202</v>
      </c>
      <c r="G1974">
        <v>15</v>
      </c>
      <c r="H1974" s="7">
        <v>45883</v>
      </c>
      <c r="I1974" t="s">
        <v>209</v>
      </c>
    </row>
    <row r="1975" spans="1:9">
      <c r="A1975">
        <v>51974</v>
      </c>
      <c r="B1975">
        <v>3165</v>
      </c>
      <c r="C1975">
        <v>2018</v>
      </c>
      <c r="D1975" s="7">
        <v>45895</v>
      </c>
      <c r="E1975" t="s">
        <v>201</v>
      </c>
      <c r="F1975" t="s">
        <v>205</v>
      </c>
      <c r="H1975" s="7"/>
      <c r="I1975" t="s">
        <v>207</v>
      </c>
    </row>
    <row r="1976" spans="1:9">
      <c r="A1976">
        <v>51975</v>
      </c>
      <c r="B1976">
        <v>3165</v>
      </c>
      <c r="C1976">
        <v>2018</v>
      </c>
      <c r="D1976" s="7">
        <v>45895</v>
      </c>
      <c r="E1976" t="s">
        <v>219</v>
      </c>
      <c r="F1976" t="s">
        <v>213</v>
      </c>
      <c r="H1976" s="7">
        <v>45909</v>
      </c>
      <c r="I1976" t="s">
        <v>203</v>
      </c>
    </row>
    <row r="1977" spans="1:9">
      <c r="A1977">
        <v>51976</v>
      </c>
      <c r="B1977">
        <v>3165</v>
      </c>
      <c r="C1977">
        <v>2018</v>
      </c>
      <c r="D1977" s="7">
        <v>45910</v>
      </c>
      <c r="E1977" t="s">
        <v>212</v>
      </c>
      <c r="F1977" t="s">
        <v>202</v>
      </c>
      <c r="G1977">
        <v>15</v>
      </c>
      <c r="H1977" s="7">
        <v>45913</v>
      </c>
      <c r="I1977" t="s">
        <v>203</v>
      </c>
    </row>
    <row r="1978" spans="1:9">
      <c r="A1978">
        <v>51977</v>
      </c>
      <c r="B1978">
        <v>3165</v>
      </c>
      <c r="C1978">
        <v>2018</v>
      </c>
      <c r="D1978" s="7">
        <v>45919</v>
      </c>
      <c r="E1978" t="s">
        <v>210</v>
      </c>
      <c r="F1978" t="s">
        <v>213</v>
      </c>
      <c r="H1978" s="7">
        <v>45926</v>
      </c>
      <c r="I1978" t="s">
        <v>211</v>
      </c>
    </row>
    <row r="1979" spans="1:9">
      <c r="A1979">
        <v>51978</v>
      </c>
      <c r="B1979">
        <v>3165</v>
      </c>
      <c r="C1979">
        <v>2018</v>
      </c>
      <c r="D1979" s="7">
        <v>45937</v>
      </c>
      <c r="E1979" t="s">
        <v>204</v>
      </c>
      <c r="F1979" t="s">
        <v>202</v>
      </c>
      <c r="G1979">
        <v>45</v>
      </c>
      <c r="H1979" s="7">
        <v>45940</v>
      </c>
      <c r="I1979" t="s">
        <v>206</v>
      </c>
    </row>
    <row r="1980" spans="1:9">
      <c r="A1980">
        <v>51979</v>
      </c>
      <c r="B1980">
        <v>3166</v>
      </c>
      <c r="C1980">
        <v>2005</v>
      </c>
      <c r="D1980" s="7">
        <v>45963</v>
      </c>
      <c r="E1980" t="s">
        <v>212</v>
      </c>
      <c r="F1980" t="s">
        <v>218</v>
      </c>
      <c r="H1980" s="7"/>
      <c r="I1980" t="s">
        <v>207</v>
      </c>
    </row>
    <row r="1981" spans="1:9">
      <c r="A1981">
        <v>51980</v>
      </c>
      <c r="B1981">
        <v>3166</v>
      </c>
      <c r="C1981">
        <v>2005</v>
      </c>
      <c r="D1981" s="7">
        <v>46025</v>
      </c>
      <c r="E1981" t="s">
        <v>212</v>
      </c>
      <c r="F1981" t="s">
        <v>213</v>
      </c>
      <c r="H1981" s="7">
        <v>46046</v>
      </c>
      <c r="I1981" t="s">
        <v>206</v>
      </c>
    </row>
    <row r="1982" spans="1:9">
      <c r="A1982">
        <v>51981</v>
      </c>
      <c r="B1982">
        <v>3166</v>
      </c>
      <c r="C1982">
        <v>2005</v>
      </c>
      <c r="D1982" s="7">
        <v>46109</v>
      </c>
      <c r="E1982" t="s">
        <v>201</v>
      </c>
      <c r="F1982" t="s">
        <v>202</v>
      </c>
      <c r="G1982">
        <v>60</v>
      </c>
      <c r="H1982" s="7">
        <v>46116</v>
      </c>
      <c r="I1982" t="s">
        <v>209</v>
      </c>
    </row>
    <row r="1983" spans="1:9">
      <c r="A1983">
        <v>51982</v>
      </c>
      <c r="B1983">
        <v>3166</v>
      </c>
      <c r="C1983">
        <v>2005</v>
      </c>
      <c r="D1983" s="7">
        <v>46142</v>
      </c>
      <c r="E1983" t="s">
        <v>204</v>
      </c>
      <c r="F1983" t="s">
        <v>214</v>
      </c>
      <c r="H1983" s="7">
        <v>46149</v>
      </c>
      <c r="I1983" t="s">
        <v>209</v>
      </c>
    </row>
    <row r="1984" spans="1:9">
      <c r="A1984">
        <v>51983</v>
      </c>
      <c r="B1984">
        <v>3166</v>
      </c>
      <c r="C1984">
        <v>2005</v>
      </c>
      <c r="D1984" s="7">
        <v>46143</v>
      </c>
      <c r="E1984" t="s">
        <v>204</v>
      </c>
      <c r="F1984" t="s">
        <v>202</v>
      </c>
      <c r="G1984">
        <v>60</v>
      </c>
      <c r="H1984" s="7">
        <v>46150</v>
      </c>
      <c r="I1984" t="s">
        <v>207</v>
      </c>
    </row>
    <row r="1985" spans="1:9">
      <c r="A1985">
        <v>51984</v>
      </c>
      <c r="B1985">
        <v>3166</v>
      </c>
      <c r="C1985">
        <v>2005</v>
      </c>
      <c r="D1985" s="7">
        <v>46187</v>
      </c>
      <c r="E1985" t="s">
        <v>210</v>
      </c>
      <c r="F1985" t="s">
        <v>202</v>
      </c>
      <c r="G1985">
        <v>90</v>
      </c>
      <c r="H1985" s="7">
        <v>46201</v>
      </c>
      <c r="I1985" t="s">
        <v>206</v>
      </c>
    </row>
    <row r="1986" spans="1:9">
      <c r="A1986">
        <v>51985</v>
      </c>
      <c r="B1986">
        <v>3166</v>
      </c>
      <c r="C1986">
        <v>2005</v>
      </c>
      <c r="D1986" s="7">
        <v>46204</v>
      </c>
      <c r="E1986" t="s">
        <v>212</v>
      </c>
      <c r="F1986" t="s">
        <v>202</v>
      </c>
      <c r="G1986">
        <v>60</v>
      </c>
      <c r="H1986" s="7"/>
      <c r="I1986" t="s">
        <v>206</v>
      </c>
    </row>
    <row r="1987" spans="1:9">
      <c r="A1987">
        <v>51986</v>
      </c>
      <c r="B1987">
        <v>3167</v>
      </c>
      <c r="C1987">
        <v>2007</v>
      </c>
      <c r="D1987" s="7">
        <v>45334</v>
      </c>
      <c r="E1987" t="s">
        <v>212</v>
      </c>
      <c r="F1987" t="s">
        <v>214</v>
      </c>
      <c r="H1987" s="7">
        <v>45355</v>
      </c>
      <c r="I1987" t="s">
        <v>211</v>
      </c>
    </row>
    <row r="1988" spans="1:9">
      <c r="A1988">
        <v>51987</v>
      </c>
      <c r="B1988">
        <v>3167</v>
      </c>
      <c r="C1988">
        <v>2007</v>
      </c>
      <c r="D1988" s="7">
        <v>45442</v>
      </c>
      <c r="E1988" t="s">
        <v>219</v>
      </c>
      <c r="F1988" t="s">
        <v>202</v>
      </c>
      <c r="G1988">
        <v>10</v>
      </c>
      <c r="H1988" s="7">
        <v>45472</v>
      </c>
      <c r="I1988" t="s">
        <v>209</v>
      </c>
    </row>
    <row r="1989" spans="1:9">
      <c r="A1989">
        <v>51988</v>
      </c>
      <c r="B1989">
        <v>3167</v>
      </c>
      <c r="C1989">
        <v>2007</v>
      </c>
      <c r="D1989" s="7">
        <v>45452</v>
      </c>
      <c r="E1989" t="s">
        <v>212</v>
      </c>
      <c r="F1989" t="s">
        <v>202</v>
      </c>
      <c r="G1989">
        <v>60</v>
      </c>
      <c r="H1989" s="7">
        <v>45482</v>
      </c>
      <c r="I1989" t="s">
        <v>203</v>
      </c>
    </row>
    <row r="1990" spans="1:9">
      <c r="A1990">
        <v>51989</v>
      </c>
      <c r="B1990">
        <v>3167</v>
      </c>
      <c r="C1990">
        <v>2007</v>
      </c>
      <c r="D1990" s="7">
        <v>45564</v>
      </c>
      <c r="E1990" t="s">
        <v>210</v>
      </c>
      <c r="F1990" t="s">
        <v>218</v>
      </c>
      <c r="H1990" s="7"/>
      <c r="I1990" t="s">
        <v>203</v>
      </c>
    </row>
    <row r="1991" spans="1:9">
      <c r="A1991">
        <v>51990</v>
      </c>
      <c r="B1991">
        <v>3167</v>
      </c>
      <c r="C1991">
        <v>2007</v>
      </c>
      <c r="D1991" s="7">
        <v>45600</v>
      </c>
      <c r="E1991" t="s">
        <v>212</v>
      </c>
      <c r="F1991" t="s">
        <v>202</v>
      </c>
      <c r="G1991">
        <v>45</v>
      </c>
      <c r="H1991" s="7">
        <v>45621</v>
      </c>
      <c r="I1991" t="s">
        <v>217</v>
      </c>
    </row>
    <row r="1992" spans="1:9">
      <c r="A1992">
        <v>51991</v>
      </c>
      <c r="B1992">
        <v>3167</v>
      </c>
      <c r="C1992">
        <v>2007</v>
      </c>
      <c r="D1992" s="7">
        <v>45609</v>
      </c>
      <c r="E1992" t="s">
        <v>208</v>
      </c>
      <c r="F1992" t="s">
        <v>202</v>
      </c>
      <c r="G1992">
        <v>10</v>
      </c>
      <c r="H1992" s="7">
        <v>45616</v>
      </c>
      <c r="I1992" t="s">
        <v>209</v>
      </c>
    </row>
    <row r="1993" spans="1:9">
      <c r="A1993">
        <v>51992</v>
      </c>
      <c r="B1993">
        <v>3167</v>
      </c>
      <c r="C1993">
        <v>2007</v>
      </c>
      <c r="D1993" s="7">
        <v>45626</v>
      </c>
      <c r="E1993" t="s">
        <v>219</v>
      </c>
      <c r="F1993" t="s">
        <v>202</v>
      </c>
      <c r="G1993">
        <v>15</v>
      </c>
      <c r="H1993" s="7">
        <v>45629</v>
      </c>
      <c r="I1993" t="s">
        <v>211</v>
      </c>
    </row>
    <row r="1994" spans="1:9">
      <c r="A1994">
        <v>51993</v>
      </c>
      <c r="B1994">
        <v>3167</v>
      </c>
      <c r="C1994">
        <v>2007</v>
      </c>
      <c r="D1994" s="7">
        <v>45684</v>
      </c>
      <c r="E1994" t="s">
        <v>212</v>
      </c>
      <c r="F1994" t="s">
        <v>205</v>
      </c>
      <c r="H1994" s="7"/>
      <c r="I1994" t="s">
        <v>211</v>
      </c>
    </row>
    <row r="1995" spans="1:9">
      <c r="A1995">
        <v>51994</v>
      </c>
      <c r="B1995">
        <v>3167</v>
      </c>
      <c r="C1995">
        <v>2007</v>
      </c>
      <c r="D1995" s="7">
        <v>45766</v>
      </c>
      <c r="E1995" t="s">
        <v>212</v>
      </c>
      <c r="F1995" t="s">
        <v>202</v>
      </c>
      <c r="G1995">
        <v>45</v>
      </c>
      <c r="H1995" s="7">
        <v>45773</v>
      </c>
      <c r="I1995" t="s">
        <v>216</v>
      </c>
    </row>
    <row r="1996" spans="1:9">
      <c r="A1996">
        <v>51995</v>
      </c>
      <c r="B1996">
        <v>3167</v>
      </c>
      <c r="C1996">
        <v>2007</v>
      </c>
      <c r="D1996" s="7">
        <v>45900</v>
      </c>
      <c r="E1996" t="s">
        <v>219</v>
      </c>
      <c r="F1996" t="s">
        <v>202</v>
      </c>
      <c r="G1996">
        <v>30</v>
      </c>
      <c r="H1996" s="7">
        <v>45921</v>
      </c>
      <c r="I1996" t="s">
        <v>209</v>
      </c>
    </row>
    <row r="1997" spans="1:9">
      <c r="A1997">
        <v>51996</v>
      </c>
      <c r="B1997">
        <v>3167</v>
      </c>
      <c r="C1997">
        <v>2007</v>
      </c>
      <c r="D1997" s="7">
        <v>46042</v>
      </c>
      <c r="E1997" t="s">
        <v>208</v>
      </c>
      <c r="F1997" t="s">
        <v>202</v>
      </c>
      <c r="G1997">
        <v>60</v>
      </c>
      <c r="H1997" s="7">
        <v>46063</v>
      </c>
      <c r="I1997" t="s">
        <v>209</v>
      </c>
    </row>
    <row r="1998" spans="1:9">
      <c r="A1998">
        <v>51997</v>
      </c>
      <c r="B1998">
        <v>3167</v>
      </c>
      <c r="C1998">
        <v>2007</v>
      </c>
      <c r="D1998" s="7">
        <v>46131</v>
      </c>
      <c r="E1998" t="s">
        <v>201</v>
      </c>
      <c r="F1998" t="s">
        <v>214</v>
      </c>
      <c r="H1998" s="7">
        <v>46138</v>
      </c>
      <c r="I1998" t="s">
        <v>217</v>
      </c>
    </row>
    <row r="1999" spans="1:9">
      <c r="A1999">
        <v>51998</v>
      </c>
      <c r="B1999">
        <v>3167</v>
      </c>
      <c r="C1999">
        <v>2007</v>
      </c>
      <c r="D1999" s="7">
        <v>46158</v>
      </c>
      <c r="E1999" t="s">
        <v>212</v>
      </c>
      <c r="F1999" t="s">
        <v>202</v>
      </c>
      <c r="G1999">
        <v>15</v>
      </c>
      <c r="H1999" s="7">
        <v>46161</v>
      </c>
      <c r="I1999" t="s">
        <v>216</v>
      </c>
    </row>
    <row r="2000" spans="1:9">
      <c r="A2000">
        <v>51999</v>
      </c>
      <c r="B2000">
        <v>3167</v>
      </c>
      <c r="C2000">
        <v>2007</v>
      </c>
      <c r="D2000" s="7">
        <v>46175</v>
      </c>
      <c r="E2000" t="s">
        <v>204</v>
      </c>
      <c r="F2000" t="s">
        <v>215</v>
      </c>
      <c r="G2000">
        <v>10</v>
      </c>
      <c r="H2000" s="7">
        <v>46205</v>
      </c>
      <c r="I2000" t="s">
        <v>216</v>
      </c>
    </row>
    <row r="2001" spans="1:9">
      <c r="A2001">
        <v>52000</v>
      </c>
      <c r="B2001">
        <v>3168</v>
      </c>
      <c r="C2001">
        <v>2018</v>
      </c>
      <c r="D2001" s="7">
        <v>45936</v>
      </c>
      <c r="E2001" t="s">
        <v>208</v>
      </c>
      <c r="F2001" t="s">
        <v>215</v>
      </c>
      <c r="G2001">
        <v>20</v>
      </c>
      <c r="H2001" s="7">
        <v>45939</v>
      </c>
      <c r="I2001" t="s">
        <v>216</v>
      </c>
    </row>
    <row r="2002" spans="1:9">
      <c r="A2002">
        <v>52001</v>
      </c>
      <c r="B2002">
        <v>3168</v>
      </c>
      <c r="C2002">
        <v>2018</v>
      </c>
      <c r="D2002" s="7">
        <v>45992</v>
      </c>
      <c r="E2002" t="s">
        <v>201</v>
      </c>
      <c r="F2002" t="s">
        <v>202</v>
      </c>
      <c r="G2002">
        <v>30</v>
      </c>
      <c r="H2002" s="7">
        <v>45995</v>
      </c>
      <c r="I2002" t="s">
        <v>209</v>
      </c>
    </row>
    <row r="2003" spans="1:9">
      <c r="A2003">
        <v>52002</v>
      </c>
      <c r="B2003">
        <v>3168</v>
      </c>
      <c r="C2003">
        <v>2018</v>
      </c>
      <c r="D2003" s="7">
        <v>46065</v>
      </c>
      <c r="E2003" t="s">
        <v>212</v>
      </c>
      <c r="F2003" t="s">
        <v>202</v>
      </c>
      <c r="G2003">
        <v>90</v>
      </c>
      <c r="H2003" s="7">
        <v>46079</v>
      </c>
      <c r="I2003" t="s">
        <v>211</v>
      </c>
    </row>
    <row r="2004" spans="1:9">
      <c r="A2004">
        <v>52003</v>
      </c>
      <c r="B2004">
        <v>3168</v>
      </c>
      <c r="C2004">
        <v>2018</v>
      </c>
      <c r="D2004" s="7">
        <v>46154</v>
      </c>
      <c r="E2004" t="s">
        <v>219</v>
      </c>
      <c r="F2004" t="s">
        <v>202</v>
      </c>
      <c r="G2004">
        <v>45</v>
      </c>
      <c r="H2004" s="7">
        <v>46175</v>
      </c>
      <c r="I2004" t="s">
        <v>217</v>
      </c>
    </row>
    <row r="2005" spans="1:9">
      <c r="A2005">
        <v>52004</v>
      </c>
      <c r="B2005">
        <v>3169</v>
      </c>
      <c r="C2005">
        <v>2005</v>
      </c>
      <c r="D2005" s="7">
        <v>45208</v>
      </c>
      <c r="E2005" t="s">
        <v>204</v>
      </c>
      <c r="F2005" t="s">
        <v>213</v>
      </c>
      <c r="H2005" s="7">
        <v>45229</v>
      </c>
      <c r="I2005" t="s">
        <v>216</v>
      </c>
    </row>
    <row r="2006" spans="1:9">
      <c r="A2006">
        <v>52005</v>
      </c>
      <c r="B2006">
        <v>3169</v>
      </c>
      <c r="C2006">
        <v>2005</v>
      </c>
      <c r="D2006" s="7">
        <v>45264</v>
      </c>
      <c r="E2006" t="s">
        <v>210</v>
      </c>
      <c r="F2006" t="s">
        <v>214</v>
      </c>
      <c r="H2006" s="7">
        <v>45285</v>
      </c>
      <c r="I2006" t="s">
        <v>216</v>
      </c>
    </row>
    <row r="2007" spans="1:9">
      <c r="A2007">
        <v>52006</v>
      </c>
      <c r="B2007">
        <v>3169</v>
      </c>
      <c r="C2007">
        <v>2005</v>
      </c>
      <c r="D2007" s="7">
        <v>45358</v>
      </c>
      <c r="E2007" t="s">
        <v>201</v>
      </c>
      <c r="F2007" t="s">
        <v>202</v>
      </c>
      <c r="G2007">
        <v>20</v>
      </c>
      <c r="H2007" s="7">
        <v>45365</v>
      </c>
      <c r="I2007" t="s">
        <v>209</v>
      </c>
    </row>
    <row r="2008" spans="1:9">
      <c r="A2008">
        <v>52007</v>
      </c>
      <c r="B2008">
        <v>3169</v>
      </c>
      <c r="C2008">
        <v>2005</v>
      </c>
      <c r="D2008" s="7">
        <v>45452</v>
      </c>
      <c r="E2008" t="s">
        <v>210</v>
      </c>
      <c r="F2008" t="s">
        <v>202</v>
      </c>
      <c r="G2008">
        <v>90</v>
      </c>
      <c r="H2008" s="7">
        <v>45466</v>
      </c>
      <c r="I2008" t="s">
        <v>207</v>
      </c>
    </row>
    <row r="2009" spans="1:9">
      <c r="A2009">
        <v>52008</v>
      </c>
      <c r="B2009">
        <v>3169</v>
      </c>
      <c r="C2009">
        <v>2005</v>
      </c>
      <c r="D2009" s="7">
        <v>45512</v>
      </c>
      <c r="E2009" t="s">
        <v>204</v>
      </c>
      <c r="F2009" t="s">
        <v>202</v>
      </c>
      <c r="G2009">
        <v>60</v>
      </c>
      <c r="H2009" s="7">
        <v>45542</v>
      </c>
      <c r="I2009" t="s">
        <v>209</v>
      </c>
    </row>
    <row r="2010" spans="1:9">
      <c r="A2010">
        <v>52009</v>
      </c>
      <c r="B2010">
        <v>3169</v>
      </c>
      <c r="C2010">
        <v>2005</v>
      </c>
      <c r="D2010" s="7">
        <v>45604</v>
      </c>
      <c r="E2010" t="s">
        <v>210</v>
      </c>
      <c r="F2010" t="s">
        <v>213</v>
      </c>
      <c r="H2010" s="7">
        <v>45611</v>
      </c>
      <c r="I2010" t="s">
        <v>207</v>
      </c>
    </row>
    <row r="2011" spans="1:9">
      <c r="A2011">
        <v>52010</v>
      </c>
      <c r="B2011">
        <v>3169</v>
      </c>
      <c r="C2011">
        <v>2005</v>
      </c>
      <c r="D2011" s="7">
        <v>45700</v>
      </c>
      <c r="E2011" t="s">
        <v>219</v>
      </c>
      <c r="F2011" t="s">
        <v>202</v>
      </c>
      <c r="G2011">
        <v>20</v>
      </c>
      <c r="H2011" s="7">
        <v>45714</v>
      </c>
      <c r="I2011" t="s">
        <v>216</v>
      </c>
    </row>
    <row r="2012" spans="1:9">
      <c r="A2012">
        <v>52011</v>
      </c>
      <c r="B2012">
        <v>3169</v>
      </c>
      <c r="C2012">
        <v>2005</v>
      </c>
      <c r="D2012" s="7">
        <v>45713</v>
      </c>
      <c r="E2012" t="s">
        <v>204</v>
      </c>
      <c r="F2012" t="s">
        <v>202</v>
      </c>
      <c r="G2012">
        <v>45</v>
      </c>
      <c r="H2012" s="7">
        <v>45734</v>
      </c>
      <c r="I2012" t="s">
        <v>206</v>
      </c>
    </row>
    <row r="2013" spans="1:9">
      <c r="A2013">
        <v>52012</v>
      </c>
      <c r="B2013">
        <v>3169</v>
      </c>
      <c r="C2013">
        <v>2005</v>
      </c>
      <c r="D2013" s="7">
        <v>45735</v>
      </c>
      <c r="E2013" t="s">
        <v>210</v>
      </c>
      <c r="F2013" t="s">
        <v>205</v>
      </c>
      <c r="H2013" s="7"/>
      <c r="I2013" t="s">
        <v>209</v>
      </c>
    </row>
    <row r="2014" spans="1:9">
      <c r="A2014">
        <v>52013</v>
      </c>
      <c r="B2014">
        <v>3169</v>
      </c>
      <c r="C2014">
        <v>2005</v>
      </c>
      <c r="D2014" s="7">
        <v>45749</v>
      </c>
      <c r="E2014" t="s">
        <v>208</v>
      </c>
      <c r="F2014" t="s">
        <v>202</v>
      </c>
      <c r="G2014">
        <v>10</v>
      </c>
      <c r="H2014" s="7">
        <v>45770</v>
      </c>
      <c r="I2014" t="s">
        <v>209</v>
      </c>
    </row>
    <row r="2015" spans="1:9">
      <c r="A2015">
        <v>52014</v>
      </c>
      <c r="B2015">
        <v>3169</v>
      </c>
      <c r="C2015">
        <v>2005</v>
      </c>
      <c r="D2015" s="7">
        <v>45764</v>
      </c>
      <c r="E2015" t="s">
        <v>201</v>
      </c>
      <c r="F2015" t="s">
        <v>202</v>
      </c>
      <c r="G2015">
        <v>90</v>
      </c>
      <c r="H2015" s="7">
        <v>45767</v>
      </c>
      <c r="I2015" t="s">
        <v>217</v>
      </c>
    </row>
    <row r="2016" spans="1:9">
      <c r="A2016">
        <v>52015</v>
      </c>
      <c r="B2016">
        <v>3169</v>
      </c>
      <c r="C2016">
        <v>2005</v>
      </c>
      <c r="D2016" s="7">
        <v>45836</v>
      </c>
      <c r="E2016" t="s">
        <v>212</v>
      </c>
      <c r="F2016" t="s">
        <v>215</v>
      </c>
      <c r="G2016">
        <v>45</v>
      </c>
      <c r="H2016" s="7">
        <v>45843</v>
      </c>
      <c r="I2016" t="s">
        <v>211</v>
      </c>
    </row>
    <row r="2017" spans="1:9">
      <c r="A2017">
        <v>52016</v>
      </c>
      <c r="B2017">
        <v>3169</v>
      </c>
      <c r="C2017">
        <v>2005</v>
      </c>
      <c r="D2017" s="7">
        <v>45932</v>
      </c>
      <c r="E2017" t="s">
        <v>212</v>
      </c>
      <c r="F2017" t="s">
        <v>202</v>
      </c>
      <c r="G2017">
        <v>60</v>
      </c>
      <c r="H2017" s="7">
        <v>45962</v>
      </c>
      <c r="I2017" t="s">
        <v>203</v>
      </c>
    </row>
    <row r="2018" spans="1:9">
      <c r="A2018">
        <v>52017</v>
      </c>
      <c r="B2018">
        <v>3170</v>
      </c>
      <c r="C2018">
        <v>2013</v>
      </c>
      <c r="D2018" s="7">
        <v>45902</v>
      </c>
      <c r="E2018" t="s">
        <v>210</v>
      </c>
      <c r="F2018" t="s">
        <v>214</v>
      </c>
      <c r="H2018" s="7">
        <v>45916</v>
      </c>
      <c r="I2018" t="s">
        <v>216</v>
      </c>
    </row>
    <row r="2019" spans="1:9">
      <c r="A2019">
        <v>52018</v>
      </c>
      <c r="B2019">
        <v>3170</v>
      </c>
      <c r="C2019">
        <v>2013</v>
      </c>
      <c r="D2019" s="7">
        <v>45943</v>
      </c>
      <c r="E2019" t="s">
        <v>204</v>
      </c>
      <c r="F2019" t="s">
        <v>202</v>
      </c>
      <c r="G2019">
        <v>20</v>
      </c>
      <c r="H2019" s="7">
        <v>45964</v>
      </c>
      <c r="I2019" t="s">
        <v>211</v>
      </c>
    </row>
    <row r="2020" spans="1:9">
      <c r="A2020">
        <v>52019</v>
      </c>
      <c r="B2020">
        <v>3170</v>
      </c>
      <c r="C2020">
        <v>2013</v>
      </c>
      <c r="D2020" s="7">
        <v>45948</v>
      </c>
      <c r="E2020" t="s">
        <v>204</v>
      </c>
      <c r="F2020" t="s">
        <v>215</v>
      </c>
      <c r="G2020">
        <v>90</v>
      </c>
      <c r="H2020" s="7">
        <v>45955</v>
      </c>
      <c r="I2020" t="s">
        <v>209</v>
      </c>
    </row>
    <row r="2021" spans="1:9">
      <c r="A2021">
        <v>52020</v>
      </c>
      <c r="B2021">
        <v>3170</v>
      </c>
      <c r="C2021">
        <v>2013</v>
      </c>
      <c r="D2021" s="7">
        <v>46018</v>
      </c>
      <c r="E2021" t="s">
        <v>201</v>
      </c>
      <c r="F2021" t="s">
        <v>213</v>
      </c>
      <c r="H2021" s="7">
        <v>46048</v>
      </c>
      <c r="I2021" t="s">
        <v>217</v>
      </c>
    </row>
    <row r="2022" spans="1:9">
      <c r="A2022">
        <v>52021</v>
      </c>
      <c r="B2022">
        <v>3170</v>
      </c>
      <c r="C2022">
        <v>2013</v>
      </c>
      <c r="D2022" s="7">
        <v>46040</v>
      </c>
      <c r="E2022" t="s">
        <v>210</v>
      </c>
      <c r="F2022" t="s">
        <v>214</v>
      </c>
      <c r="H2022" s="7">
        <v>46043</v>
      </c>
      <c r="I2022" t="s">
        <v>209</v>
      </c>
    </row>
    <row r="2023" spans="1:9">
      <c r="A2023">
        <v>52022</v>
      </c>
      <c r="B2023">
        <v>3170</v>
      </c>
      <c r="C2023">
        <v>2013</v>
      </c>
      <c r="D2023" s="7">
        <v>46048</v>
      </c>
      <c r="E2023" t="s">
        <v>201</v>
      </c>
      <c r="F2023" t="s">
        <v>213</v>
      </c>
      <c r="H2023" s="7">
        <v>46062</v>
      </c>
      <c r="I2023" t="s">
        <v>216</v>
      </c>
    </row>
    <row r="2024" spans="1:9">
      <c r="A2024">
        <v>52023</v>
      </c>
      <c r="B2024">
        <v>3170</v>
      </c>
      <c r="C2024">
        <v>2013</v>
      </c>
      <c r="D2024" s="7">
        <v>46078</v>
      </c>
      <c r="E2024" t="s">
        <v>210</v>
      </c>
      <c r="F2024" t="s">
        <v>214</v>
      </c>
      <c r="H2024" s="7">
        <v>46081</v>
      </c>
      <c r="I2024" t="s">
        <v>206</v>
      </c>
    </row>
    <row r="2025" spans="1:9">
      <c r="A2025">
        <v>52024</v>
      </c>
      <c r="B2025">
        <v>3170</v>
      </c>
      <c r="C2025">
        <v>2013</v>
      </c>
      <c r="D2025" s="7">
        <v>46087</v>
      </c>
      <c r="E2025" t="s">
        <v>219</v>
      </c>
      <c r="F2025" t="s">
        <v>202</v>
      </c>
      <c r="G2025">
        <v>60</v>
      </c>
      <c r="H2025" s="7">
        <v>46090</v>
      </c>
      <c r="I2025" t="s">
        <v>217</v>
      </c>
    </row>
    <row r="2026" spans="1:9">
      <c r="A2026">
        <v>52025</v>
      </c>
      <c r="B2026">
        <v>3170</v>
      </c>
      <c r="C2026">
        <v>2013</v>
      </c>
      <c r="D2026" s="7">
        <v>46092</v>
      </c>
      <c r="E2026" t="s">
        <v>212</v>
      </c>
      <c r="F2026" t="s">
        <v>213</v>
      </c>
      <c r="H2026" s="7">
        <v>46106</v>
      </c>
      <c r="I2026" t="s">
        <v>216</v>
      </c>
    </row>
    <row r="2027" spans="1:9">
      <c r="A2027">
        <v>52026</v>
      </c>
      <c r="B2027">
        <v>3170</v>
      </c>
      <c r="C2027">
        <v>2013</v>
      </c>
      <c r="D2027" s="7">
        <v>46175</v>
      </c>
      <c r="E2027" t="s">
        <v>201</v>
      </c>
      <c r="F2027" t="s">
        <v>213</v>
      </c>
      <c r="H2027" s="7">
        <v>46178</v>
      </c>
      <c r="I2027" t="s">
        <v>207</v>
      </c>
    </row>
    <row r="2028" spans="1:9">
      <c r="A2028">
        <v>52027</v>
      </c>
      <c r="B2028">
        <v>3171</v>
      </c>
      <c r="C2028">
        <v>2009</v>
      </c>
      <c r="D2028" s="7">
        <v>45468</v>
      </c>
      <c r="E2028" t="s">
        <v>219</v>
      </c>
      <c r="F2028" t="s">
        <v>202</v>
      </c>
      <c r="G2028">
        <v>60</v>
      </c>
      <c r="H2028" s="7">
        <v>45482</v>
      </c>
      <c r="I2028" t="s">
        <v>216</v>
      </c>
    </row>
    <row r="2029" spans="1:9">
      <c r="A2029">
        <v>52028</v>
      </c>
      <c r="B2029">
        <v>3171</v>
      </c>
      <c r="C2029">
        <v>2009</v>
      </c>
      <c r="D2029" s="7">
        <v>45657</v>
      </c>
      <c r="E2029" t="s">
        <v>204</v>
      </c>
      <c r="F2029" t="s">
        <v>214</v>
      </c>
      <c r="H2029" s="7">
        <v>45660</v>
      </c>
      <c r="I2029" t="s">
        <v>209</v>
      </c>
    </row>
    <row r="2030" spans="1:9">
      <c r="A2030">
        <v>52029</v>
      </c>
      <c r="B2030">
        <v>3171</v>
      </c>
      <c r="C2030">
        <v>2009</v>
      </c>
      <c r="D2030" s="7">
        <v>45873</v>
      </c>
      <c r="E2030" t="s">
        <v>204</v>
      </c>
      <c r="F2030" t="s">
        <v>202</v>
      </c>
      <c r="G2030">
        <v>45</v>
      </c>
      <c r="H2030" s="7">
        <v>45880</v>
      </c>
      <c r="I2030" t="s">
        <v>206</v>
      </c>
    </row>
    <row r="2031" spans="1:9">
      <c r="A2031">
        <v>52030</v>
      </c>
      <c r="B2031">
        <v>3171</v>
      </c>
      <c r="C2031">
        <v>2009</v>
      </c>
      <c r="D2031" s="7">
        <v>45997</v>
      </c>
      <c r="E2031" t="s">
        <v>201</v>
      </c>
      <c r="F2031" t="s">
        <v>202</v>
      </c>
      <c r="G2031">
        <v>90</v>
      </c>
      <c r="H2031" s="7">
        <v>46000</v>
      </c>
      <c r="I2031" t="s">
        <v>211</v>
      </c>
    </row>
    <row r="2032" spans="1:9">
      <c r="A2032">
        <v>52031</v>
      </c>
      <c r="B2032">
        <v>3172</v>
      </c>
      <c r="C2032">
        <v>2002</v>
      </c>
      <c r="D2032" s="7">
        <v>46027</v>
      </c>
      <c r="E2032" t="s">
        <v>208</v>
      </c>
      <c r="F2032" t="s">
        <v>214</v>
      </c>
      <c r="H2032" s="7">
        <v>46030</v>
      </c>
      <c r="I2032" t="s">
        <v>211</v>
      </c>
    </row>
    <row r="2033" spans="1:9">
      <c r="A2033">
        <v>52032</v>
      </c>
      <c r="B2033">
        <v>3172</v>
      </c>
      <c r="C2033">
        <v>2002</v>
      </c>
      <c r="D2033" s="7">
        <v>46037</v>
      </c>
      <c r="E2033" t="s">
        <v>219</v>
      </c>
      <c r="F2033" t="s">
        <v>202</v>
      </c>
      <c r="G2033">
        <v>45</v>
      </c>
      <c r="H2033" s="7">
        <v>46040</v>
      </c>
      <c r="I2033" t="s">
        <v>211</v>
      </c>
    </row>
    <row r="2034" spans="1:9">
      <c r="A2034">
        <v>52033</v>
      </c>
      <c r="B2034">
        <v>3172</v>
      </c>
      <c r="C2034">
        <v>2002</v>
      </c>
      <c r="D2034" s="7">
        <v>46092</v>
      </c>
      <c r="E2034" t="s">
        <v>212</v>
      </c>
      <c r="F2034" t="s">
        <v>202</v>
      </c>
      <c r="G2034">
        <v>90</v>
      </c>
      <c r="H2034" s="7">
        <v>46122</v>
      </c>
      <c r="I2034" t="s">
        <v>203</v>
      </c>
    </row>
    <row r="2035" spans="1:9">
      <c r="A2035">
        <v>52034</v>
      </c>
      <c r="B2035">
        <v>3172</v>
      </c>
      <c r="C2035">
        <v>2002</v>
      </c>
      <c r="D2035" s="7">
        <v>46109</v>
      </c>
      <c r="E2035" t="s">
        <v>219</v>
      </c>
      <c r="F2035" t="s">
        <v>202</v>
      </c>
      <c r="G2035">
        <v>45</v>
      </c>
      <c r="H2035" s="7">
        <v>46116</v>
      </c>
      <c r="I2035" t="s">
        <v>217</v>
      </c>
    </row>
    <row r="2036" spans="1:9">
      <c r="A2036">
        <v>52035</v>
      </c>
      <c r="B2036">
        <v>3172</v>
      </c>
      <c r="C2036">
        <v>2002</v>
      </c>
      <c r="D2036" s="7">
        <v>46124</v>
      </c>
      <c r="E2036" t="s">
        <v>201</v>
      </c>
      <c r="F2036" t="s">
        <v>202</v>
      </c>
      <c r="G2036">
        <v>90</v>
      </c>
      <c r="H2036" s="7">
        <v>46138</v>
      </c>
      <c r="I2036" t="s">
        <v>206</v>
      </c>
    </row>
    <row r="2037" spans="1:9">
      <c r="A2037">
        <v>52036</v>
      </c>
      <c r="B2037">
        <v>3172</v>
      </c>
      <c r="C2037">
        <v>2002</v>
      </c>
      <c r="D2037" s="7">
        <v>46156</v>
      </c>
      <c r="E2037" t="s">
        <v>212</v>
      </c>
      <c r="F2037" t="s">
        <v>214</v>
      </c>
      <c r="H2037" s="7">
        <v>46159</v>
      </c>
      <c r="I2037" t="s">
        <v>216</v>
      </c>
    </row>
    <row r="2038" spans="1:9">
      <c r="A2038">
        <v>52037</v>
      </c>
      <c r="B2038">
        <v>3172</v>
      </c>
      <c r="C2038">
        <v>2002</v>
      </c>
      <c r="D2038" s="7">
        <v>46166</v>
      </c>
      <c r="E2038" t="s">
        <v>212</v>
      </c>
      <c r="F2038" t="s">
        <v>202</v>
      </c>
      <c r="G2038">
        <v>10</v>
      </c>
      <c r="H2038" s="7">
        <v>46196</v>
      </c>
      <c r="I2038" t="s">
        <v>217</v>
      </c>
    </row>
    <row r="2039" spans="1:9">
      <c r="A2039">
        <v>52038</v>
      </c>
      <c r="B2039">
        <v>3172</v>
      </c>
      <c r="C2039">
        <v>2002</v>
      </c>
      <c r="D2039" s="7">
        <v>46198</v>
      </c>
      <c r="E2039" t="s">
        <v>201</v>
      </c>
      <c r="F2039" t="s">
        <v>202</v>
      </c>
      <c r="G2039">
        <v>60</v>
      </c>
      <c r="H2039" s="7"/>
      <c r="I2039" t="s">
        <v>207</v>
      </c>
    </row>
    <row r="2040" spans="1:9">
      <c r="A2040">
        <v>52039</v>
      </c>
      <c r="B2040">
        <v>3172</v>
      </c>
      <c r="C2040">
        <v>2002</v>
      </c>
      <c r="D2040" s="7">
        <v>46198</v>
      </c>
      <c r="E2040" t="s">
        <v>210</v>
      </c>
      <c r="F2040" t="s">
        <v>213</v>
      </c>
      <c r="H2040" s="7">
        <v>46201</v>
      </c>
      <c r="I2040" t="s">
        <v>206</v>
      </c>
    </row>
    <row r="2041" spans="1:9">
      <c r="A2041">
        <v>52040</v>
      </c>
      <c r="B2041">
        <v>3172</v>
      </c>
      <c r="C2041">
        <v>2002</v>
      </c>
      <c r="D2041" s="7">
        <v>46203</v>
      </c>
      <c r="E2041" t="s">
        <v>219</v>
      </c>
      <c r="F2041" t="s">
        <v>214</v>
      </c>
      <c r="H2041" s="7"/>
      <c r="I2041" t="s">
        <v>209</v>
      </c>
    </row>
    <row r="2042" spans="1:9">
      <c r="A2042">
        <v>52041</v>
      </c>
      <c r="B2042">
        <v>3172</v>
      </c>
      <c r="C2042">
        <v>2002</v>
      </c>
      <c r="D2042" s="7">
        <v>46208</v>
      </c>
      <c r="E2042" t="s">
        <v>210</v>
      </c>
      <c r="F2042" t="s">
        <v>214</v>
      </c>
      <c r="H2042" s="7"/>
      <c r="I2042" t="s">
        <v>209</v>
      </c>
    </row>
    <row r="2043" spans="1:9">
      <c r="A2043">
        <v>52042</v>
      </c>
      <c r="B2043">
        <v>3173</v>
      </c>
      <c r="C2043">
        <v>2005</v>
      </c>
      <c r="D2043" s="7">
        <v>46115</v>
      </c>
      <c r="E2043" t="s">
        <v>204</v>
      </c>
      <c r="F2043" t="s">
        <v>218</v>
      </c>
      <c r="H2043" s="7"/>
      <c r="I2043" t="s">
        <v>209</v>
      </c>
    </row>
    <row r="2044" spans="1:9">
      <c r="A2044">
        <v>52043</v>
      </c>
      <c r="B2044">
        <v>3173</v>
      </c>
      <c r="C2044">
        <v>2005</v>
      </c>
      <c r="D2044" s="7">
        <v>46125</v>
      </c>
      <c r="E2044" t="s">
        <v>219</v>
      </c>
      <c r="F2044" t="s">
        <v>202</v>
      </c>
      <c r="G2044">
        <v>15</v>
      </c>
      <c r="H2044" s="7">
        <v>46128</v>
      </c>
      <c r="I2044" t="s">
        <v>216</v>
      </c>
    </row>
    <row r="2045" spans="1:9">
      <c r="A2045">
        <v>52044</v>
      </c>
      <c r="B2045">
        <v>3173</v>
      </c>
      <c r="C2045">
        <v>2005</v>
      </c>
      <c r="D2045" s="7">
        <v>46130</v>
      </c>
      <c r="E2045" t="s">
        <v>204</v>
      </c>
      <c r="F2045" t="s">
        <v>213</v>
      </c>
      <c r="H2045" s="7">
        <v>46151</v>
      </c>
      <c r="I2045" t="s">
        <v>209</v>
      </c>
    </row>
    <row r="2046" spans="1:9">
      <c r="A2046">
        <v>52045</v>
      </c>
      <c r="B2046">
        <v>3173</v>
      </c>
      <c r="C2046">
        <v>2005</v>
      </c>
      <c r="D2046" s="7">
        <v>46142</v>
      </c>
      <c r="E2046" t="s">
        <v>201</v>
      </c>
      <c r="F2046" t="s">
        <v>218</v>
      </c>
      <c r="H2046" s="7"/>
      <c r="I2046" t="s">
        <v>206</v>
      </c>
    </row>
    <row r="2047" spans="1:9">
      <c r="A2047">
        <v>52046</v>
      </c>
      <c r="B2047">
        <v>3173</v>
      </c>
      <c r="C2047">
        <v>2005</v>
      </c>
      <c r="D2047" s="7">
        <v>46160</v>
      </c>
      <c r="E2047" t="s">
        <v>219</v>
      </c>
      <c r="F2047" t="s">
        <v>202</v>
      </c>
      <c r="G2047">
        <v>10</v>
      </c>
      <c r="H2047" s="7">
        <v>46163</v>
      </c>
      <c r="I2047" t="s">
        <v>211</v>
      </c>
    </row>
    <row r="2048" spans="1:9">
      <c r="A2048">
        <v>52047</v>
      </c>
      <c r="B2048">
        <v>3173</v>
      </c>
      <c r="C2048">
        <v>2005</v>
      </c>
      <c r="D2048" s="7">
        <v>46182</v>
      </c>
      <c r="E2048" t="s">
        <v>210</v>
      </c>
      <c r="F2048" t="s">
        <v>214</v>
      </c>
      <c r="H2048" s="7">
        <v>46196</v>
      </c>
      <c r="I2048" t="s">
        <v>206</v>
      </c>
    </row>
    <row r="2049" spans="1:9">
      <c r="A2049">
        <v>52048</v>
      </c>
      <c r="B2049">
        <v>3173</v>
      </c>
      <c r="C2049">
        <v>2005</v>
      </c>
      <c r="D2049" s="7">
        <v>46189</v>
      </c>
      <c r="E2049" t="s">
        <v>212</v>
      </c>
      <c r="F2049" t="s">
        <v>202</v>
      </c>
      <c r="G2049">
        <v>30</v>
      </c>
      <c r="H2049" s="7">
        <v>46210</v>
      </c>
      <c r="I2049" t="s">
        <v>216</v>
      </c>
    </row>
    <row r="2050" spans="1:9">
      <c r="A2050">
        <v>52049</v>
      </c>
      <c r="B2050">
        <v>3174</v>
      </c>
      <c r="C2050">
        <v>2007</v>
      </c>
      <c r="D2050" s="7">
        <v>45146</v>
      </c>
      <c r="E2050" t="s">
        <v>210</v>
      </c>
      <c r="F2050" t="s">
        <v>213</v>
      </c>
      <c r="H2050" s="7">
        <v>45160</v>
      </c>
      <c r="I2050" t="s">
        <v>217</v>
      </c>
    </row>
    <row r="2051" spans="1:9">
      <c r="A2051">
        <v>52050</v>
      </c>
      <c r="B2051">
        <v>3174</v>
      </c>
      <c r="C2051">
        <v>2007</v>
      </c>
      <c r="D2051" s="7">
        <v>45428</v>
      </c>
      <c r="E2051" t="s">
        <v>212</v>
      </c>
      <c r="F2051" t="s">
        <v>213</v>
      </c>
      <c r="H2051" s="7">
        <v>45458</v>
      </c>
      <c r="I2051" t="s">
        <v>211</v>
      </c>
    </row>
    <row r="2052" spans="1:9">
      <c r="A2052">
        <v>52051</v>
      </c>
      <c r="B2052">
        <v>3174</v>
      </c>
      <c r="C2052">
        <v>2007</v>
      </c>
      <c r="D2052" s="7">
        <v>45444</v>
      </c>
      <c r="E2052" t="s">
        <v>212</v>
      </c>
      <c r="F2052" t="s">
        <v>202</v>
      </c>
      <c r="G2052">
        <v>45</v>
      </c>
      <c r="H2052" s="7">
        <v>45447</v>
      </c>
      <c r="I2052" t="s">
        <v>207</v>
      </c>
    </row>
    <row r="2053" spans="1:9">
      <c r="A2053">
        <v>52052</v>
      </c>
      <c r="B2053">
        <v>3174</v>
      </c>
      <c r="C2053">
        <v>2007</v>
      </c>
      <c r="D2053" s="7">
        <v>45523</v>
      </c>
      <c r="E2053" t="s">
        <v>212</v>
      </c>
      <c r="F2053" t="s">
        <v>202</v>
      </c>
      <c r="G2053">
        <v>90</v>
      </c>
      <c r="H2053" s="7">
        <v>45553</v>
      </c>
      <c r="I2053" t="s">
        <v>211</v>
      </c>
    </row>
    <row r="2054" spans="1:9">
      <c r="A2054">
        <v>52053</v>
      </c>
      <c r="B2054">
        <v>3174</v>
      </c>
      <c r="C2054">
        <v>2007</v>
      </c>
      <c r="D2054" s="7">
        <v>45574</v>
      </c>
      <c r="E2054" t="s">
        <v>210</v>
      </c>
      <c r="F2054" t="s">
        <v>214</v>
      </c>
      <c r="H2054" s="7">
        <v>45581</v>
      </c>
      <c r="I2054" t="s">
        <v>206</v>
      </c>
    </row>
    <row r="2055" spans="1:9">
      <c r="A2055">
        <v>52054</v>
      </c>
      <c r="B2055">
        <v>3174</v>
      </c>
      <c r="C2055">
        <v>2007</v>
      </c>
      <c r="D2055" s="7">
        <v>45862</v>
      </c>
      <c r="E2055" t="s">
        <v>219</v>
      </c>
      <c r="F2055" t="s">
        <v>202</v>
      </c>
      <c r="G2055">
        <v>45</v>
      </c>
      <c r="H2055" s="7">
        <v>45869</v>
      </c>
      <c r="I2055" t="s">
        <v>217</v>
      </c>
    </row>
    <row r="2056" spans="1:9">
      <c r="A2056">
        <v>52055</v>
      </c>
      <c r="B2056">
        <v>3174</v>
      </c>
      <c r="C2056">
        <v>2007</v>
      </c>
      <c r="D2056" s="7">
        <v>45947</v>
      </c>
      <c r="E2056" t="s">
        <v>219</v>
      </c>
      <c r="F2056" t="s">
        <v>202</v>
      </c>
      <c r="G2056">
        <v>20</v>
      </c>
      <c r="H2056" s="7">
        <v>45954</v>
      </c>
      <c r="I2056" t="s">
        <v>207</v>
      </c>
    </row>
    <row r="2057" spans="1:9">
      <c r="A2057">
        <v>52056</v>
      </c>
      <c r="B2057">
        <v>3174</v>
      </c>
      <c r="C2057">
        <v>2007</v>
      </c>
      <c r="D2057" s="7">
        <v>45989</v>
      </c>
      <c r="E2057" t="s">
        <v>201</v>
      </c>
      <c r="F2057" t="s">
        <v>202</v>
      </c>
      <c r="G2057">
        <v>45</v>
      </c>
      <c r="H2057" s="7">
        <v>45996</v>
      </c>
      <c r="I2057" t="s">
        <v>216</v>
      </c>
    </row>
    <row r="2058" spans="1:9">
      <c r="A2058">
        <v>52057</v>
      </c>
      <c r="B2058">
        <v>3175</v>
      </c>
      <c r="C2058">
        <v>2005</v>
      </c>
      <c r="D2058" s="7">
        <v>45160</v>
      </c>
      <c r="E2058" t="s">
        <v>204</v>
      </c>
      <c r="F2058" t="s">
        <v>214</v>
      </c>
      <c r="H2058" s="7">
        <v>45174</v>
      </c>
      <c r="I2058" t="s">
        <v>206</v>
      </c>
    </row>
    <row r="2059" spans="1:9">
      <c r="A2059">
        <v>52058</v>
      </c>
      <c r="B2059">
        <v>3175</v>
      </c>
      <c r="C2059">
        <v>2005</v>
      </c>
      <c r="D2059" s="7">
        <v>45349</v>
      </c>
      <c r="E2059" t="s">
        <v>204</v>
      </c>
      <c r="F2059" t="s">
        <v>214</v>
      </c>
      <c r="H2059" s="7">
        <v>45370</v>
      </c>
      <c r="I2059" t="s">
        <v>206</v>
      </c>
    </row>
    <row r="2060" spans="1:9">
      <c r="A2060">
        <v>52059</v>
      </c>
      <c r="B2060">
        <v>3175</v>
      </c>
      <c r="C2060">
        <v>2005</v>
      </c>
      <c r="D2060" s="7">
        <v>45465</v>
      </c>
      <c r="E2060" t="s">
        <v>201</v>
      </c>
      <c r="F2060" t="s">
        <v>202</v>
      </c>
      <c r="G2060">
        <v>45</v>
      </c>
      <c r="H2060" s="7">
        <v>45479</v>
      </c>
      <c r="I2060" t="s">
        <v>217</v>
      </c>
    </row>
    <row r="2061" spans="1:9">
      <c r="A2061">
        <v>52060</v>
      </c>
      <c r="B2061">
        <v>3175</v>
      </c>
      <c r="C2061">
        <v>2005</v>
      </c>
      <c r="D2061" s="7">
        <v>45874</v>
      </c>
      <c r="E2061" t="s">
        <v>212</v>
      </c>
      <c r="F2061" t="s">
        <v>214</v>
      </c>
      <c r="H2061" s="7">
        <v>45888</v>
      </c>
      <c r="I2061" t="s">
        <v>207</v>
      </c>
    </row>
    <row r="2062" spans="1:9">
      <c r="A2062">
        <v>52061</v>
      </c>
      <c r="B2062">
        <v>3175</v>
      </c>
      <c r="C2062">
        <v>2005</v>
      </c>
      <c r="D2062" s="7">
        <v>45907</v>
      </c>
      <c r="E2062" t="s">
        <v>212</v>
      </c>
      <c r="F2062" t="s">
        <v>202</v>
      </c>
      <c r="G2062">
        <v>60</v>
      </c>
      <c r="H2062" s="7">
        <v>45921</v>
      </c>
      <c r="I2062" t="s">
        <v>216</v>
      </c>
    </row>
    <row r="2063" spans="1:9">
      <c r="A2063">
        <v>52062</v>
      </c>
      <c r="B2063">
        <v>3175</v>
      </c>
      <c r="C2063">
        <v>2005</v>
      </c>
      <c r="D2063" s="7">
        <v>45916</v>
      </c>
      <c r="E2063" t="s">
        <v>212</v>
      </c>
      <c r="F2063" t="s">
        <v>214</v>
      </c>
      <c r="H2063" s="7">
        <v>45937</v>
      </c>
      <c r="I2063" t="s">
        <v>206</v>
      </c>
    </row>
    <row r="2064" spans="1:9">
      <c r="A2064">
        <v>52063</v>
      </c>
      <c r="B2064">
        <v>3176</v>
      </c>
      <c r="C2064">
        <v>2011</v>
      </c>
      <c r="D2064" s="7">
        <v>46144</v>
      </c>
      <c r="E2064" t="s">
        <v>219</v>
      </c>
      <c r="F2064" t="s">
        <v>215</v>
      </c>
      <c r="G2064">
        <v>60</v>
      </c>
      <c r="H2064" s="7">
        <v>46151</v>
      </c>
      <c r="I2064" t="s">
        <v>207</v>
      </c>
    </row>
    <row r="2065" spans="1:9">
      <c r="A2065">
        <v>52064</v>
      </c>
      <c r="B2065">
        <v>3176</v>
      </c>
      <c r="C2065">
        <v>2011</v>
      </c>
      <c r="D2065" s="7">
        <v>46144</v>
      </c>
      <c r="E2065" t="s">
        <v>204</v>
      </c>
      <c r="F2065" t="s">
        <v>214</v>
      </c>
      <c r="H2065" s="7">
        <v>46165</v>
      </c>
      <c r="I2065" t="s">
        <v>206</v>
      </c>
    </row>
    <row r="2066" spans="1:9">
      <c r="A2066">
        <v>52065</v>
      </c>
      <c r="B2066">
        <v>3176</v>
      </c>
      <c r="C2066">
        <v>2011</v>
      </c>
      <c r="D2066" s="7">
        <v>46144</v>
      </c>
      <c r="E2066" t="s">
        <v>210</v>
      </c>
      <c r="F2066" t="s">
        <v>214</v>
      </c>
      <c r="H2066" s="7">
        <v>46165</v>
      </c>
      <c r="I2066" t="s">
        <v>207</v>
      </c>
    </row>
    <row r="2067" spans="1:9">
      <c r="A2067">
        <v>52066</v>
      </c>
      <c r="B2067">
        <v>3176</v>
      </c>
      <c r="C2067">
        <v>2011</v>
      </c>
      <c r="D2067" s="7">
        <v>46161</v>
      </c>
      <c r="E2067" t="s">
        <v>201</v>
      </c>
      <c r="F2067" t="s">
        <v>202</v>
      </c>
      <c r="G2067">
        <v>60</v>
      </c>
      <c r="H2067" s="7">
        <v>46164</v>
      </c>
      <c r="I2067" t="s">
        <v>207</v>
      </c>
    </row>
    <row r="2068" spans="1:9">
      <c r="A2068">
        <v>52067</v>
      </c>
      <c r="B2068">
        <v>3176</v>
      </c>
      <c r="C2068">
        <v>2011</v>
      </c>
      <c r="D2068" s="7">
        <v>46163</v>
      </c>
      <c r="E2068" t="s">
        <v>212</v>
      </c>
      <c r="F2068" t="s">
        <v>205</v>
      </c>
      <c r="H2068" s="7"/>
      <c r="I2068" t="s">
        <v>207</v>
      </c>
    </row>
    <row r="2069" spans="1:9">
      <c r="A2069">
        <v>52068</v>
      </c>
      <c r="B2069">
        <v>3176</v>
      </c>
      <c r="C2069">
        <v>2011</v>
      </c>
      <c r="D2069" s="7">
        <v>46166</v>
      </c>
      <c r="E2069" t="s">
        <v>204</v>
      </c>
      <c r="F2069" t="s">
        <v>202</v>
      </c>
      <c r="G2069">
        <v>20</v>
      </c>
      <c r="H2069" s="7">
        <v>46173</v>
      </c>
      <c r="I2069" t="s">
        <v>206</v>
      </c>
    </row>
    <row r="2070" spans="1:9">
      <c r="A2070">
        <v>52069</v>
      </c>
      <c r="B2070">
        <v>3176</v>
      </c>
      <c r="C2070">
        <v>2011</v>
      </c>
      <c r="D2070" s="7">
        <v>46171</v>
      </c>
      <c r="E2070" t="s">
        <v>212</v>
      </c>
      <c r="F2070" t="s">
        <v>202</v>
      </c>
      <c r="G2070">
        <v>45</v>
      </c>
      <c r="H2070" s="7">
        <v>46178</v>
      </c>
      <c r="I2070" t="s">
        <v>217</v>
      </c>
    </row>
    <row r="2071" spans="1:9">
      <c r="A2071">
        <v>52070</v>
      </c>
      <c r="B2071">
        <v>3176</v>
      </c>
      <c r="C2071">
        <v>2011</v>
      </c>
      <c r="D2071" s="7">
        <v>46175</v>
      </c>
      <c r="E2071" t="s">
        <v>204</v>
      </c>
      <c r="F2071" t="s">
        <v>202</v>
      </c>
      <c r="G2071">
        <v>15</v>
      </c>
      <c r="H2071" s="7">
        <v>46189</v>
      </c>
      <c r="I2071" t="s">
        <v>203</v>
      </c>
    </row>
    <row r="2072" spans="1:9">
      <c r="A2072">
        <v>52071</v>
      </c>
      <c r="B2072">
        <v>3176</v>
      </c>
      <c r="C2072">
        <v>2011</v>
      </c>
      <c r="D2072" s="7">
        <v>46182</v>
      </c>
      <c r="E2072" t="s">
        <v>201</v>
      </c>
      <c r="F2072" t="s">
        <v>202</v>
      </c>
      <c r="G2072">
        <v>90</v>
      </c>
      <c r="H2072" s="7">
        <v>46196</v>
      </c>
      <c r="I2072" t="s">
        <v>209</v>
      </c>
    </row>
    <row r="2073" spans="1:9">
      <c r="A2073">
        <v>52072</v>
      </c>
      <c r="B2073">
        <v>3176</v>
      </c>
      <c r="C2073">
        <v>2011</v>
      </c>
      <c r="D2073" s="7">
        <v>46184</v>
      </c>
      <c r="E2073" t="s">
        <v>204</v>
      </c>
      <c r="F2073" t="s">
        <v>202</v>
      </c>
      <c r="G2073">
        <v>15</v>
      </c>
      <c r="H2073" s="7">
        <v>46205</v>
      </c>
      <c r="I2073" t="s">
        <v>203</v>
      </c>
    </row>
    <row r="2074" spans="1:9">
      <c r="A2074">
        <v>52073</v>
      </c>
      <c r="B2074">
        <v>3176</v>
      </c>
      <c r="C2074">
        <v>2011</v>
      </c>
      <c r="D2074" s="7">
        <v>46187</v>
      </c>
      <c r="E2074" t="s">
        <v>204</v>
      </c>
      <c r="F2074" t="s">
        <v>202</v>
      </c>
      <c r="G2074">
        <v>10</v>
      </c>
      <c r="H2074" s="7">
        <v>46201</v>
      </c>
      <c r="I2074" t="s">
        <v>206</v>
      </c>
    </row>
    <row r="2075" spans="1:9">
      <c r="A2075">
        <v>52074</v>
      </c>
      <c r="B2075">
        <v>3176</v>
      </c>
      <c r="C2075">
        <v>2011</v>
      </c>
      <c r="D2075" s="7">
        <v>46188</v>
      </c>
      <c r="E2075" t="s">
        <v>204</v>
      </c>
      <c r="F2075" t="s">
        <v>202</v>
      </c>
      <c r="G2075">
        <v>60</v>
      </c>
      <c r="H2075" s="7">
        <v>46195</v>
      </c>
      <c r="I2075" t="s">
        <v>209</v>
      </c>
    </row>
    <row r="2076" spans="1:9">
      <c r="A2076">
        <v>52075</v>
      </c>
      <c r="B2076">
        <v>3176</v>
      </c>
      <c r="C2076">
        <v>2011</v>
      </c>
      <c r="D2076" s="7">
        <v>46192</v>
      </c>
      <c r="E2076" t="s">
        <v>204</v>
      </c>
      <c r="F2076" t="s">
        <v>202</v>
      </c>
      <c r="G2076">
        <v>90</v>
      </c>
      <c r="H2076" s="7">
        <v>46195</v>
      </c>
      <c r="I2076" t="s">
        <v>209</v>
      </c>
    </row>
    <row r="2077" spans="1:9">
      <c r="A2077">
        <v>52076</v>
      </c>
      <c r="B2077">
        <v>3176</v>
      </c>
      <c r="C2077">
        <v>2011</v>
      </c>
      <c r="D2077" s="7">
        <v>46198</v>
      </c>
      <c r="E2077" t="s">
        <v>212</v>
      </c>
      <c r="F2077" t="s">
        <v>218</v>
      </c>
      <c r="H2077" s="7"/>
      <c r="I2077" t="s">
        <v>211</v>
      </c>
    </row>
    <row r="2078" spans="1:9">
      <c r="A2078">
        <v>52077</v>
      </c>
      <c r="B2078">
        <v>3176</v>
      </c>
      <c r="C2078">
        <v>2011</v>
      </c>
      <c r="D2078" s="7">
        <v>46199</v>
      </c>
      <c r="E2078" t="s">
        <v>212</v>
      </c>
      <c r="F2078" t="s">
        <v>215</v>
      </c>
      <c r="G2078">
        <v>10</v>
      </c>
      <c r="H2078" s="7">
        <v>46206</v>
      </c>
      <c r="I2078" t="s">
        <v>203</v>
      </c>
    </row>
    <row r="2079" spans="1:9">
      <c r="A2079">
        <v>52078</v>
      </c>
      <c r="B2079">
        <v>3176</v>
      </c>
      <c r="C2079">
        <v>2011</v>
      </c>
      <c r="D2079" s="7">
        <v>46202</v>
      </c>
      <c r="E2079" t="s">
        <v>212</v>
      </c>
      <c r="F2079" t="s">
        <v>213</v>
      </c>
      <c r="H2079" s="7">
        <v>46209</v>
      </c>
      <c r="I2079" t="s">
        <v>211</v>
      </c>
    </row>
    <row r="2080" spans="1:9">
      <c r="A2080">
        <v>52079</v>
      </c>
      <c r="B2080">
        <v>3176</v>
      </c>
      <c r="C2080">
        <v>2011</v>
      </c>
      <c r="D2080" s="7">
        <v>46212</v>
      </c>
      <c r="E2080" t="s">
        <v>212</v>
      </c>
      <c r="F2080" t="s">
        <v>202</v>
      </c>
      <c r="G2080">
        <v>30</v>
      </c>
      <c r="H2080" s="7"/>
      <c r="I2080" t="s">
        <v>203</v>
      </c>
    </row>
    <row r="2081" spans="1:9">
      <c r="A2081">
        <v>52080</v>
      </c>
      <c r="B2081">
        <v>3176</v>
      </c>
      <c r="C2081">
        <v>2011</v>
      </c>
      <c r="D2081" s="7">
        <v>46213</v>
      </c>
      <c r="E2081" t="s">
        <v>219</v>
      </c>
      <c r="F2081" t="s">
        <v>202</v>
      </c>
      <c r="G2081">
        <v>60</v>
      </c>
      <c r="H2081" s="7"/>
      <c r="I2081" t="s">
        <v>207</v>
      </c>
    </row>
    <row r="2082" spans="1:9">
      <c r="A2082">
        <v>52081</v>
      </c>
      <c r="B2082">
        <v>3177</v>
      </c>
      <c r="C2082">
        <v>2018</v>
      </c>
      <c r="D2082" s="7">
        <v>46022</v>
      </c>
      <c r="E2082" t="s">
        <v>204</v>
      </c>
      <c r="F2082" t="s">
        <v>215</v>
      </c>
      <c r="G2082">
        <v>15</v>
      </c>
      <c r="H2082" s="7">
        <v>46025</v>
      </c>
      <c r="I2082" t="s">
        <v>203</v>
      </c>
    </row>
    <row r="2083" spans="1:9">
      <c r="A2083">
        <v>52082</v>
      </c>
      <c r="B2083">
        <v>3177</v>
      </c>
      <c r="C2083">
        <v>2018</v>
      </c>
      <c r="D2083" s="7">
        <v>46030</v>
      </c>
      <c r="E2083" t="s">
        <v>219</v>
      </c>
      <c r="F2083" t="s">
        <v>202</v>
      </c>
      <c r="G2083">
        <v>15</v>
      </c>
      <c r="H2083" s="7">
        <v>46037</v>
      </c>
      <c r="I2083" t="s">
        <v>203</v>
      </c>
    </row>
    <row r="2084" spans="1:9">
      <c r="A2084">
        <v>52083</v>
      </c>
      <c r="B2084">
        <v>3177</v>
      </c>
      <c r="C2084">
        <v>2018</v>
      </c>
      <c r="D2084" s="7">
        <v>46056</v>
      </c>
      <c r="E2084" t="s">
        <v>212</v>
      </c>
      <c r="F2084" t="s">
        <v>213</v>
      </c>
      <c r="H2084" s="7">
        <v>46077</v>
      </c>
      <c r="I2084" t="s">
        <v>203</v>
      </c>
    </row>
    <row r="2085" spans="1:9">
      <c r="A2085">
        <v>52084</v>
      </c>
      <c r="B2085">
        <v>3177</v>
      </c>
      <c r="C2085">
        <v>2018</v>
      </c>
      <c r="D2085" s="7">
        <v>46123</v>
      </c>
      <c r="E2085" t="s">
        <v>204</v>
      </c>
      <c r="F2085" t="s">
        <v>202</v>
      </c>
      <c r="G2085">
        <v>15</v>
      </c>
      <c r="H2085" s="7">
        <v>46130</v>
      </c>
      <c r="I2085" t="s">
        <v>207</v>
      </c>
    </row>
    <row r="2086" spans="1:9">
      <c r="A2086">
        <v>52085</v>
      </c>
      <c r="B2086">
        <v>3177</v>
      </c>
      <c r="C2086">
        <v>2018</v>
      </c>
      <c r="D2086" s="7">
        <v>46206</v>
      </c>
      <c r="E2086" t="s">
        <v>212</v>
      </c>
      <c r="F2086" t="s">
        <v>214</v>
      </c>
      <c r="H2086" s="7"/>
      <c r="I2086" t="s">
        <v>209</v>
      </c>
    </row>
    <row r="2087" spans="1:9">
      <c r="A2087">
        <v>52086</v>
      </c>
      <c r="B2087">
        <v>3177</v>
      </c>
      <c r="C2087">
        <v>2018</v>
      </c>
      <c r="D2087" s="7">
        <v>46209</v>
      </c>
      <c r="E2087" t="s">
        <v>212</v>
      </c>
      <c r="F2087" t="s">
        <v>205</v>
      </c>
      <c r="H2087" s="7"/>
      <c r="I2087" t="s">
        <v>203</v>
      </c>
    </row>
    <row r="2088" spans="1:9">
      <c r="A2088">
        <v>52087</v>
      </c>
      <c r="B2088">
        <v>3178</v>
      </c>
      <c r="C2088">
        <v>2003</v>
      </c>
      <c r="D2088" s="7">
        <v>45902</v>
      </c>
      <c r="E2088" t="s">
        <v>208</v>
      </c>
      <c r="F2088" t="s">
        <v>213</v>
      </c>
      <c r="H2088" s="7">
        <v>45932</v>
      </c>
      <c r="I2088" t="s">
        <v>203</v>
      </c>
    </row>
    <row r="2089" spans="1:9">
      <c r="A2089">
        <v>52088</v>
      </c>
      <c r="B2089">
        <v>3178</v>
      </c>
      <c r="C2089">
        <v>2003</v>
      </c>
      <c r="D2089" s="7">
        <v>45905</v>
      </c>
      <c r="E2089" t="s">
        <v>210</v>
      </c>
      <c r="F2089" t="s">
        <v>218</v>
      </c>
      <c r="H2089" s="7"/>
      <c r="I2089" t="s">
        <v>211</v>
      </c>
    </row>
    <row r="2090" spans="1:9">
      <c r="A2090">
        <v>52089</v>
      </c>
      <c r="B2090">
        <v>3178</v>
      </c>
      <c r="C2090">
        <v>2003</v>
      </c>
      <c r="D2090" s="7">
        <v>45997</v>
      </c>
      <c r="E2090" t="s">
        <v>208</v>
      </c>
      <c r="F2090" t="s">
        <v>205</v>
      </c>
      <c r="H2090" s="7"/>
      <c r="I2090" t="s">
        <v>217</v>
      </c>
    </row>
    <row r="2091" spans="1:9">
      <c r="A2091">
        <v>52090</v>
      </c>
      <c r="B2091">
        <v>3178</v>
      </c>
      <c r="C2091">
        <v>2003</v>
      </c>
      <c r="D2091" s="7">
        <v>46118</v>
      </c>
      <c r="E2091" t="s">
        <v>201</v>
      </c>
      <c r="F2091" t="s">
        <v>202</v>
      </c>
      <c r="G2091">
        <v>30</v>
      </c>
      <c r="H2091" s="7">
        <v>46139</v>
      </c>
      <c r="I2091" t="s">
        <v>203</v>
      </c>
    </row>
    <row r="2092" spans="1:9">
      <c r="A2092">
        <v>52091</v>
      </c>
      <c r="B2092">
        <v>3178</v>
      </c>
      <c r="C2092">
        <v>2003</v>
      </c>
      <c r="D2092" s="7">
        <v>46133</v>
      </c>
      <c r="E2092" t="s">
        <v>208</v>
      </c>
      <c r="F2092" t="s">
        <v>202</v>
      </c>
      <c r="G2092">
        <v>15</v>
      </c>
      <c r="H2092" s="7">
        <v>46163</v>
      </c>
      <c r="I2092" t="s">
        <v>209</v>
      </c>
    </row>
    <row r="2093" spans="1:9">
      <c r="A2093">
        <v>52092</v>
      </c>
      <c r="B2093">
        <v>3178</v>
      </c>
      <c r="C2093">
        <v>2003</v>
      </c>
      <c r="D2093" s="7">
        <v>46195</v>
      </c>
      <c r="E2093" t="s">
        <v>201</v>
      </c>
      <c r="F2093" t="s">
        <v>202</v>
      </c>
      <c r="G2093">
        <v>10</v>
      </c>
      <c r="H2093" s="7">
        <v>46202</v>
      </c>
      <c r="I2093" t="s">
        <v>209</v>
      </c>
    </row>
    <row r="2094" spans="1:9">
      <c r="A2094">
        <v>52093</v>
      </c>
      <c r="B2094">
        <v>3179</v>
      </c>
      <c r="C2094">
        <v>2003</v>
      </c>
      <c r="D2094" s="7">
        <v>45910</v>
      </c>
      <c r="E2094" t="s">
        <v>212</v>
      </c>
      <c r="F2094" t="s">
        <v>202</v>
      </c>
      <c r="G2094">
        <v>10</v>
      </c>
      <c r="H2094" s="7">
        <v>45931</v>
      </c>
      <c r="I2094" t="s">
        <v>216</v>
      </c>
    </row>
    <row r="2095" spans="1:9">
      <c r="A2095">
        <v>52094</v>
      </c>
      <c r="B2095">
        <v>3179</v>
      </c>
      <c r="C2095">
        <v>2003</v>
      </c>
      <c r="D2095" s="7">
        <v>45941</v>
      </c>
      <c r="E2095" t="s">
        <v>201</v>
      </c>
      <c r="F2095" t="s">
        <v>202</v>
      </c>
      <c r="G2095">
        <v>30</v>
      </c>
      <c r="H2095" s="7">
        <v>45955</v>
      </c>
      <c r="I2095" t="s">
        <v>211</v>
      </c>
    </row>
    <row r="2096" spans="1:9">
      <c r="A2096">
        <v>52095</v>
      </c>
      <c r="B2096">
        <v>3179</v>
      </c>
      <c r="C2096">
        <v>2003</v>
      </c>
      <c r="D2096" s="7">
        <v>45961</v>
      </c>
      <c r="E2096" t="s">
        <v>201</v>
      </c>
      <c r="F2096" t="s">
        <v>213</v>
      </c>
      <c r="H2096" s="7">
        <v>45975</v>
      </c>
      <c r="I2096" t="s">
        <v>216</v>
      </c>
    </row>
    <row r="2097" spans="1:9">
      <c r="A2097">
        <v>52096</v>
      </c>
      <c r="B2097">
        <v>3179</v>
      </c>
      <c r="C2097">
        <v>2003</v>
      </c>
      <c r="D2097" s="7">
        <v>46061</v>
      </c>
      <c r="E2097" t="s">
        <v>204</v>
      </c>
      <c r="F2097" t="s">
        <v>202</v>
      </c>
      <c r="G2097">
        <v>15</v>
      </c>
      <c r="H2097" s="7">
        <v>46064</v>
      </c>
      <c r="I2097" t="s">
        <v>206</v>
      </c>
    </row>
    <row r="2098" spans="1:9">
      <c r="A2098">
        <v>52097</v>
      </c>
      <c r="B2098">
        <v>3179</v>
      </c>
      <c r="C2098">
        <v>2003</v>
      </c>
      <c r="D2098" s="7">
        <v>46066</v>
      </c>
      <c r="E2098" t="s">
        <v>212</v>
      </c>
      <c r="F2098" t="s">
        <v>215</v>
      </c>
      <c r="G2098">
        <v>30</v>
      </c>
      <c r="H2098" s="7">
        <v>46087</v>
      </c>
      <c r="I2098" t="s">
        <v>211</v>
      </c>
    </row>
    <row r="2099" spans="1:9">
      <c r="A2099">
        <v>52098</v>
      </c>
      <c r="B2099">
        <v>3179</v>
      </c>
      <c r="C2099">
        <v>2003</v>
      </c>
      <c r="D2099" s="7">
        <v>46074</v>
      </c>
      <c r="E2099" t="s">
        <v>201</v>
      </c>
      <c r="F2099" t="s">
        <v>202</v>
      </c>
      <c r="G2099">
        <v>20</v>
      </c>
      <c r="H2099" s="7">
        <v>46088</v>
      </c>
      <c r="I2099" t="s">
        <v>206</v>
      </c>
    </row>
    <row r="2100" spans="1:9">
      <c r="A2100">
        <v>52099</v>
      </c>
      <c r="B2100">
        <v>3179</v>
      </c>
      <c r="C2100">
        <v>2003</v>
      </c>
      <c r="D2100" s="7">
        <v>46159</v>
      </c>
      <c r="E2100" t="s">
        <v>219</v>
      </c>
      <c r="F2100" t="s">
        <v>213</v>
      </c>
      <c r="H2100" s="7">
        <v>46166</v>
      </c>
      <c r="I2100" t="s">
        <v>211</v>
      </c>
    </row>
    <row r="2101" spans="1:9">
      <c r="A2101">
        <v>52100</v>
      </c>
      <c r="B2101">
        <v>3179</v>
      </c>
      <c r="C2101">
        <v>2003</v>
      </c>
      <c r="D2101" s="7">
        <v>46182</v>
      </c>
      <c r="E2101" t="s">
        <v>212</v>
      </c>
      <c r="F2101" t="s">
        <v>202</v>
      </c>
      <c r="G2101">
        <v>10</v>
      </c>
      <c r="H2101" s="7">
        <v>46203</v>
      </c>
      <c r="I2101" t="s">
        <v>203</v>
      </c>
    </row>
    <row r="2102" spans="1:9">
      <c r="A2102">
        <v>52101</v>
      </c>
      <c r="B2102">
        <v>3179</v>
      </c>
      <c r="C2102">
        <v>2003</v>
      </c>
      <c r="D2102" s="7">
        <v>46191</v>
      </c>
      <c r="E2102" t="s">
        <v>204</v>
      </c>
      <c r="F2102" t="s">
        <v>214</v>
      </c>
      <c r="H2102" s="7">
        <v>46205</v>
      </c>
      <c r="I2102" t="s">
        <v>209</v>
      </c>
    </row>
    <row r="2103" spans="1:9">
      <c r="A2103">
        <v>52102</v>
      </c>
      <c r="B2103">
        <v>3179</v>
      </c>
      <c r="C2103">
        <v>2003</v>
      </c>
      <c r="D2103" s="7">
        <v>46195</v>
      </c>
      <c r="E2103" t="s">
        <v>210</v>
      </c>
      <c r="F2103" t="s">
        <v>218</v>
      </c>
      <c r="H2103" s="7"/>
      <c r="I2103" t="s">
        <v>216</v>
      </c>
    </row>
    <row r="2104" spans="1:9">
      <c r="A2104">
        <v>52103</v>
      </c>
      <c r="B2104">
        <v>3180</v>
      </c>
      <c r="C2104">
        <v>2002</v>
      </c>
      <c r="D2104" s="7">
        <v>45930</v>
      </c>
      <c r="E2104" t="s">
        <v>212</v>
      </c>
      <c r="F2104" t="s">
        <v>202</v>
      </c>
      <c r="G2104">
        <v>20</v>
      </c>
      <c r="H2104" s="7">
        <v>45944</v>
      </c>
      <c r="I2104" t="s">
        <v>207</v>
      </c>
    </row>
    <row r="2105" spans="1:9">
      <c r="A2105">
        <v>52104</v>
      </c>
      <c r="B2105">
        <v>3180</v>
      </c>
      <c r="C2105">
        <v>2002</v>
      </c>
      <c r="D2105" s="7">
        <v>45946</v>
      </c>
      <c r="E2105" t="s">
        <v>201</v>
      </c>
      <c r="F2105" t="s">
        <v>202</v>
      </c>
      <c r="G2105">
        <v>20</v>
      </c>
      <c r="H2105" s="7">
        <v>45976</v>
      </c>
      <c r="I2105" t="s">
        <v>217</v>
      </c>
    </row>
    <row r="2106" spans="1:9">
      <c r="A2106">
        <v>52105</v>
      </c>
      <c r="B2106">
        <v>3180</v>
      </c>
      <c r="C2106">
        <v>2002</v>
      </c>
      <c r="D2106" s="7">
        <v>45960</v>
      </c>
      <c r="E2106" t="s">
        <v>204</v>
      </c>
      <c r="F2106" t="s">
        <v>202</v>
      </c>
      <c r="G2106">
        <v>10</v>
      </c>
      <c r="H2106" s="7">
        <v>45990</v>
      </c>
      <c r="I2106" t="s">
        <v>216</v>
      </c>
    </row>
    <row r="2107" spans="1:9">
      <c r="A2107">
        <v>52106</v>
      </c>
      <c r="B2107">
        <v>3180</v>
      </c>
      <c r="C2107">
        <v>2002</v>
      </c>
      <c r="D2107" s="7">
        <v>45970</v>
      </c>
      <c r="E2107" t="s">
        <v>210</v>
      </c>
      <c r="F2107" t="s">
        <v>213</v>
      </c>
      <c r="H2107" s="7">
        <v>45977</v>
      </c>
      <c r="I2107" t="s">
        <v>217</v>
      </c>
    </row>
    <row r="2108" spans="1:9">
      <c r="A2108">
        <v>52107</v>
      </c>
      <c r="B2108">
        <v>3180</v>
      </c>
      <c r="C2108">
        <v>2002</v>
      </c>
      <c r="D2108" s="7">
        <v>46020</v>
      </c>
      <c r="E2108" t="s">
        <v>204</v>
      </c>
      <c r="F2108" t="s">
        <v>213</v>
      </c>
      <c r="H2108" s="7">
        <v>46034</v>
      </c>
      <c r="I2108" t="s">
        <v>216</v>
      </c>
    </row>
    <row r="2109" spans="1:9">
      <c r="A2109">
        <v>52108</v>
      </c>
      <c r="B2109">
        <v>3180</v>
      </c>
      <c r="C2109">
        <v>2002</v>
      </c>
      <c r="D2109" s="7">
        <v>46048</v>
      </c>
      <c r="E2109" t="s">
        <v>219</v>
      </c>
      <c r="F2109" t="s">
        <v>202</v>
      </c>
      <c r="G2109">
        <v>10</v>
      </c>
      <c r="H2109" s="7">
        <v>46078</v>
      </c>
      <c r="I2109" t="s">
        <v>203</v>
      </c>
    </row>
    <row r="2110" spans="1:9">
      <c r="A2110">
        <v>52109</v>
      </c>
      <c r="B2110">
        <v>3180</v>
      </c>
      <c r="C2110">
        <v>2002</v>
      </c>
      <c r="D2110" s="7">
        <v>46078</v>
      </c>
      <c r="E2110" t="s">
        <v>210</v>
      </c>
      <c r="F2110" t="s">
        <v>214</v>
      </c>
      <c r="H2110" s="7">
        <v>46099</v>
      </c>
      <c r="I2110" t="s">
        <v>209</v>
      </c>
    </row>
    <row r="2111" spans="1:9">
      <c r="A2111">
        <v>52110</v>
      </c>
      <c r="B2111">
        <v>3180</v>
      </c>
      <c r="C2111">
        <v>2002</v>
      </c>
      <c r="D2111" s="7">
        <v>46082</v>
      </c>
      <c r="E2111" t="s">
        <v>210</v>
      </c>
      <c r="F2111" t="s">
        <v>214</v>
      </c>
      <c r="H2111" s="7">
        <v>46089</v>
      </c>
      <c r="I2111" t="s">
        <v>216</v>
      </c>
    </row>
    <row r="2112" spans="1:9">
      <c r="A2112">
        <v>52111</v>
      </c>
      <c r="B2112">
        <v>3180</v>
      </c>
      <c r="C2112">
        <v>2002</v>
      </c>
      <c r="D2112" s="7">
        <v>46088</v>
      </c>
      <c r="E2112" t="s">
        <v>204</v>
      </c>
      <c r="F2112" t="s">
        <v>202</v>
      </c>
      <c r="G2112">
        <v>30</v>
      </c>
      <c r="H2112" s="7">
        <v>46118</v>
      </c>
      <c r="I2112" t="s">
        <v>211</v>
      </c>
    </row>
    <row r="2113" spans="1:9">
      <c r="A2113">
        <v>52112</v>
      </c>
      <c r="B2113">
        <v>3180</v>
      </c>
      <c r="C2113">
        <v>2002</v>
      </c>
      <c r="D2113" s="7">
        <v>46094</v>
      </c>
      <c r="E2113" t="s">
        <v>212</v>
      </c>
      <c r="F2113" t="s">
        <v>214</v>
      </c>
      <c r="H2113" s="7">
        <v>46097</v>
      </c>
      <c r="I2113" t="s">
        <v>203</v>
      </c>
    </row>
    <row r="2114" spans="1:9">
      <c r="A2114">
        <v>52113</v>
      </c>
      <c r="B2114">
        <v>3180</v>
      </c>
      <c r="C2114">
        <v>2002</v>
      </c>
      <c r="D2114" s="7">
        <v>46111</v>
      </c>
      <c r="E2114" t="s">
        <v>201</v>
      </c>
      <c r="F2114" t="s">
        <v>202</v>
      </c>
      <c r="G2114">
        <v>10</v>
      </c>
      <c r="H2114" s="7">
        <v>46141</v>
      </c>
      <c r="I2114" t="s">
        <v>211</v>
      </c>
    </row>
    <row r="2115" spans="1:9">
      <c r="A2115">
        <v>52114</v>
      </c>
      <c r="B2115">
        <v>3180</v>
      </c>
      <c r="C2115">
        <v>2002</v>
      </c>
      <c r="D2115" s="7">
        <v>46119</v>
      </c>
      <c r="E2115" t="s">
        <v>212</v>
      </c>
      <c r="F2115" t="s">
        <v>202</v>
      </c>
      <c r="G2115">
        <v>15</v>
      </c>
      <c r="H2115" s="7">
        <v>46122</v>
      </c>
      <c r="I2115" t="s">
        <v>216</v>
      </c>
    </row>
    <row r="2116" spans="1:9">
      <c r="A2116">
        <v>52115</v>
      </c>
      <c r="B2116">
        <v>3180</v>
      </c>
      <c r="C2116">
        <v>2002</v>
      </c>
      <c r="D2116" s="7">
        <v>46121</v>
      </c>
      <c r="E2116" t="s">
        <v>201</v>
      </c>
      <c r="F2116" t="s">
        <v>202</v>
      </c>
      <c r="G2116">
        <v>20</v>
      </c>
      <c r="H2116" s="7">
        <v>46124</v>
      </c>
      <c r="I2116" t="s">
        <v>211</v>
      </c>
    </row>
    <row r="2117" spans="1:9">
      <c r="A2117">
        <v>52116</v>
      </c>
      <c r="B2117">
        <v>3180</v>
      </c>
      <c r="C2117">
        <v>2002</v>
      </c>
      <c r="D2117" s="7">
        <v>46196</v>
      </c>
      <c r="E2117" t="s">
        <v>212</v>
      </c>
      <c r="F2117" t="s">
        <v>215</v>
      </c>
      <c r="G2117">
        <v>45</v>
      </c>
      <c r="H2117" s="7">
        <v>46199</v>
      </c>
      <c r="I2117" t="s">
        <v>203</v>
      </c>
    </row>
    <row r="2118" spans="1:9">
      <c r="A2118">
        <v>52117</v>
      </c>
      <c r="B2118">
        <v>3181</v>
      </c>
      <c r="C2118">
        <v>2018</v>
      </c>
      <c r="D2118" s="7">
        <v>46169</v>
      </c>
      <c r="E2118" t="s">
        <v>219</v>
      </c>
      <c r="F2118" t="s">
        <v>214</v>
      </c>
      <c r="H2118" s="7">
        <v>46183</v>
      </c>
      <c r="I2118" t="s">
        <v>203</v>
      </c>
    </row>
    <row r="2119" spans="1:9">
      <c r="A2119">
        <v>52118</v>
      </c>
      <c r="B2119">
        <v>3181</v>
      </c>
      <c r="C2119">
        <v>2018</v>
      </c>
      <c r="D2119" s="7">
        <v>46174</v>
      </c>
      <c r="E2119" t="s">
        <v>210</v>
      </c>
      <c r="F2119" t="s">
        <v>205</v>
      </c>
      <c r="H2119" s="7"/>
      <c r="I2119" t="s">
        <v>209</v>
      </c>
    </row>
    <row r="2120" spans="1:9">
      <c r="A2120">
        <v>52119</v>
      </c>
      <c r="B2120">
        <v>3181</v>
      </c>
      <c r="C2120">
        <v>2018</v>
      </c>
      <c r="D2120" s="7">
        <v>46175</v>
      </c>
      <c r="E2120" t="s">
        <v>204</v>
      </c>
      <c r="F2120" t="s">
        <v>202</v>
      </c>
      <c r="G2120">
        <v>10</v>
      </c>
      <c r="H2120" s="7">
        <v>46189</v>
      </c>
      <c r="I2120" t="s">
        <v>203</v>
      </c>
    </row>
    <row r="2121" spans="1:9">
      <c r="A2121">
        <v>52120</v>
      </c>
      <c r="B2121">
        <v>3181</v>
      </c>
      <c r="C2121">
        <v>2018</v>
      </c>
      <c r="D2121" s="7">
        <v>46177</v>
      </c>
      <c r="E2121" t="s">
        <v>212</v>
      </c>
      <c r="F2121" t="s">
        <v>202</v>
      </c>
      <c r="G2121">
        <v>10</v>
      </c>
      <c r="H2121" s="7">
        <v>46184</v>
      </c>
      <c r="I2121" t="s">
        <v>207</v>
      </c>
    </row>
    <row r="2122" spans="1:9">
      <c r="A2122">
        <v>52121</v>
      </c>
      <c r="B2122">
        <v>3181</v>
      </c>
      <c r="C2122">
        <v>2018</v>
      </c>
      <c r="D2122" s="7">
        <v>46180</v>
      </c>
      <c r="E2122" t="s">
        <v>212</v>
      </c>
      <c r="F2122" t="s">
        <v>218</v>
      </c>
      <c r="H2122" s="7"/>
      <c r="I2122" t="s">
        <v>206</v>
      </c>
    </row>
    <row r="2123" spans="1:9">
      <c r="A2123">
        <v>52122</v>
      </c>
      <c r="B2123">
        <v>3181</v>
      </c>
      <c r="C2123">
        <v>2018</v>
      </c>
      <c r="D2123" s="7">
        <v>46182</v>
      </c>
      <c r="E2123" t="s">
        <v>204</v>
      </c>
      <c r="F2123" t="s">
        <v>214</v>
      </c>
      <c r="H2123" s="7">
        <v>46212</v>
      </c>
      <c r="I2123" t="s">
        <v>203</v>
      </c>
    </row>
    <row r="2124" spans="1:9">
      <c r="A2124">
        <v>52123</v>
      </c>
      <c r="B2124">
        <v>3181</v>
      </c>
      <c r="C2124">
        <v>2018</v>
      </c>
      <c r="D2124" s="7">
        <v>46183</v>
      </c>
      <c r="E2124" t="s">
        <v>208</v>
      </c>
      <c r="F2124" t="s">
        <v>214</v>
      </c>
      <c r="H2124" s="7">
        <v>46197</v>
      </c>
      <c r="I2124" t="s">
        <v>211</v>
      </c>
    </row>
    <row r="2125" spans="1:9">
      <c r="A2125">
        <v>52124</v>
      </c>
      <c r="B2125">
        <v>3181</v>
      </c>
      <c r="C2125">
        <v>2018</v>
      </c>
      <c r="D2125" s="7">
        <v>46186</v>
      </c>
      <c r="E2125" t="s">
        <v>219</v>
      </c>
      <c r="F2125" t="s">
        <v>202</v>
      </c>
      <c r="G2125">
        <v>30</v>
      </c>
      <c r="H2125" s="7"/>
      <c r="I2125" t="s">
        <v>216</v>
      </c>
    </row>
    <row r="2126" spans="1:9">
      <c r="A2126">
        <v>52125</v>
      </c>
      <c r="B2126">
        <v>3181</v>
      </c>
      <c r="C2126">
        <v>2018</v>
      </c>
      <c r="D2126" s="7">
        <v>46194</v>
      </c>
      <c r="E2126" t="s">
        <v>204</v>
      </c>
      <c r="F2126" t="s">
        <v>202</v>
      </c>
      <c r="G2126">
        <v>15</v>
      </c>
      <c r="H2126" s="7"/>
      <c r="I2126" t="s">
        <v>209</v>
      </c>
    </row>
    <row r="2127" spans="1:9">
      <c r="A2127">
        <v>52126</v>
      </c>
      <c r="B2127">
        <v>3181</v>
      </c>
      <c r="C2127">
        <v>2018</v>
      </c>
      <c r="D2127" s="7">
        <v>46194</v>
      </c>
      <c r="E2127" t="s">
        <v>204</v>
      </c>
      <c r="F2127" t="s">
        <v>215</v>
      </c>
      <c r="G2127">
        <v>60</v>
      </c>
      <c r="H2127" s="7">
        <v>46201</v>
      </c>
      <c r="I2127" t="s">
        <v>206</v>
      </c>
    </row>
    <row r="2128" spans="1:9">
      <c r="A2128">
        <v>52127</v>
      </c>
      <c r="B2128">
        <v>3181</v>
      </c>
      <c r="C2128">
        <v>2018</v>
      </c>
      <c r="D2128" s="7">
        <v>46195</v>
      </c>
      <c r="E2128" t="s">
        <v>212</v>
      </c>
      <c r="F2128" t="s">
        <v>202</v>
      </c>
      <c r="G2128">
        <v>45</v>
      </c>
      <c r="H2128" s="7">
        <v>46202</v>
      </c>
      <c r="I2128" t="s">
        <v>203</v>
      </c>
    </row>
    <row r="2129" spans="1:9">
      <c r="A2129">
        <v>52128</v>
      </c>
      <c r="B2129">
        <v>3181</v>
      </c>
      <c r="C2129">
        <v>2018</v>
      </c>
      <c r="D2129" s="7">
        <v>46209</v>
      </c>
      <c r="E2129" t="s">
        <v>210</v>
      </c>
      <c r="F2129" t="s">
        <v>205</v>
      </c>
      <c r="H2129" s="7"/>
      <c r="I2129" t="s">
        <v>211</v>
      </c>
    </row>
    <row r="2130" spans="1:9">
      <c r="A2130">
        <v>52129</v>
      </c>
      <c r="B2130">
        <v>3181</v>
      </c>
      <c r="C2130">
        <v>2018</v>
      </c>
      <c r="D2130" s="7">
        <v>46213</v>
      </c>
      <c r="E2130" t="s">
        <v>204</v>
      </c>
      <c r="F2130" t="s">
        <v>202</v>
      </c>
      <c r="G2130">
        <v>10</v>
      </c>
      <c r="H2130" s="7"/>
      <c r="I2130" t="s">
        <v>209</v>
      </c>
    </row>
    <row r="2131" spans="1:9">
      <c r="A2131">
        <v>52130</v>
      </c>
      <c r="B2131">
        <v>3182</v>
      </c>
      <c r="C2131">
        <v>2015</v>
      </c>
      <c r="D2131" s="7">
        <v>45526</v>
      </c>
      <c r="E2131" t="s">
        <v>212</v>
      </c>
      <c r="F2131" t="s">
        <v>202</v>
      </c>
      <c r="G2131">
        <v>30</v>
      </c>
      <c r="H2131" s="7">
        <v>45547</v>
      </c>
      <c r="I2131" t="s">
        <v>203</v>
      </c>
    </row>
    <row r="2132" spans="1:9">
      <c r="A2132">
        <v>52131</v>
      </c>
      <c r="B2132">
        <v>3182</v>
      </c>
      <c r="C2132">
        <v>2015</v>
      </c>
      <c r="D2132" s="7">
        <v>45548</v>
      </c>
      <c r="E2132" t="s">
        <v>204</v>
      </c>
      <c r="F2132" t="s">
        <v>202</v>
      </c>
      <c r="G2132">
        <v>10</v>
      </c>
      <c r="H2132" s="7">
        <v>45562</v>
      </c>
      <c r="I2132" t="s">
        <v>209</v>
      </c>
    </row>
    <row r="2133" spans="1:9">
      <c r="A2133">
        <v>52132</v>
      </c>
      <c r="B2133">
        <v>3182</v>
      </c>
      <c r="C2133">
        <v>2015</v>
      </c>
      <c r="D2133" s="7">
        <v>45705</v>
      </c>
      <c r="E2133" t="s">
        <v>212</v>
      </c>
      <c r="F2133" t="s">
        <v>214</v>
      </c>
      <c r="H2133" s="7">
        <v>45719</v>
      </c>
      <c r="I2133" t="s">
        <v>209</v>
      </c>
    </row>
    <row r="2134" spans="1:9">
      <c r="A2134">
        <v>52133</v>
      </c>
      <c r="B2134">
        <v>3182</v>
      </c>
      <c r="C2134">
        <v>2015</v>
      </c>
      <c r="D2134" s="7">
        <v>45767</v>
      </c>
      <c r="E2134" t="s">
        <v>210</v>
      </c>
      <c r="F2134" t="s">
        <v>213</v>
      </c>
      <c r="H2134" s="7">
        <v>45788</v>
      </c>
      <c r="I2134" t="s">
        <v>216</v>
      </c>
    </row>
    <row r="2135" spans="1:9">
      <c r="A2135">
        <v>52134</v>
      </c>
      <c r="B2135">
        <v>3182</v>
      </c>
      <c r="C2135">
        <v>2015</v>
      </c>
      <c r="D2135" s="7">
        <v>45788</v>
      </c>
      <c r="E2135" t="s">
        <v>201</v>
      </c>
      <c r="F2135" t="s">
        <v>215</v>
      </c>
      <c r="G2135">
        <v>90</v>
      </c>
      <c r="H2135" s="7">
        <v>45802</v>
      </c>
      <c r="I2135" t="s">
        <v>217</v>
      </c>
    </row>
    <row r="2136" spans="1:9">
      <c r="A2136">
        <v>52135</v>
      </c>
      <c r="B2136">
        <v>3182</v>
      </c>
      <c r="C2136">
        <v>2015</v>
      </c>
      <c r="D2136" s="7">
        <v>45797</v>
      </c>
      <c r="E2136" t="s">
        <v>201</v>
      </c>
      <c r="F2136" t="s">
        <v>205</v>
      </c>
      <c r="H2136" s="7"/>
      <c r="I2136" t="s">
        <v>206</v>
      </c>
    </row>
    <row r="2137" spans="1:9">
      <c r="A2137">
        <v>52136</v>
      </c>
      <c r="B2137">
        <v>3182</v>
      </c>
      <c r="C2137">
        <v>2015</v>
      </c>
      <c r="D2137" s="7">
        <v>45808</v>
      </c>
      <c r="E2137" t="s">
        <v>212</v>
      </c>
      <c r="F2137" t="s">
        <v>202</v>
      </c>
      <c r="G2137">
        <v>10</v>
      </c>
      <c r="H2137" s="7">
        <v>45838</v>
      </c>
      <c r="I2137" t="s">
        <v>217</v>
      </c>
    </row>
    <row r="2138" spans="1:9">
      <c r="A2138">
        <v>52137</v>
      </c>
      <c r="B2138">
        <v>3182</v>
      </c>
      <c r="C2138">
        <v>2015</v>
      </c>
      <c r="D2138" s="7">
        <v>45966</v>
      </c>
      <c r="E2138" t="s">
        <v>201</v>
      </c>
      <c r="F2138" t="s">
        <v>205</v>
      </c>
      <c r="H2138" s="7"/>
      <c r="I2138" t="s">
        <v>217</v>
      </c>
    </row>
    <row r="2139" spans="1:9">
      <c r="A2139">
        <v>52138</v>
      </c>
      <c r="B2139">
        <v>3182</v>
      </c>
      <c r="C2139">
        <v>2015</v>
      </c>
      <c r="D2139" s="7">
        <v>46015</v>
      </c>
      <c r="E2139" t="s">
        <v>212</v>
      </c>
      <c r="F2139" t="s">
        <v>202</v>
      </c>
      <c r="G2139">
        <v>20</v>
      </c>
      <c r="H2139" s="7">
        <v>46029</v>
      </c>
      <c r="I2139" t="s">
        <v>209</v>
      </c>
    </row>
    <row r="2140" spans="1:9">
      <c r="A2140">
        <v>52139</v>
      </c>
      <c r="B2140">
        <v>3182</v>
      </c>
      <c r="C2140">
        <v>2015</v>
      </c>
      <c r="D2140" s="7">
        <v>46202</v>
      </c>
      <c r="E2140" t="s">
        <v>204</v>
      </c>
      <c r="F2140" t="s">
        <v>202</v>
      </c>
      <c r="G2140">
        <v>30</v>
      </c>
      <c r="H2140" s="7"/>
      <c r="I2140" t="s">
        <v>209</v>
      </c>
    </row>
    <row r="2141" spans="1:9">
      <c r="A2141">
        <v>52140</v>
      </c>
      <c r="B2141">
        <v>3183</v>
      </c>
      <c r="C2141">
        <v>2006</v>
      </c>
      <c r="D2141" s="7">
        <v>45552</v>
      </c>
      <c r="E2141" t="s">
        <v>210</v>
      </c>
      <c r="F2141" t="s">
        <v>213</v>
      </c>
      <c r="H2141" s="7">
        <v>45559</v>
      </c>
      <c r="I2141" t="s">
        <v>211</v>
      </c>
    </row>
    <row r="2142" spans="1:9">
      <c r="A2142">
        <v>52141</v>
      </c>
      <c r="B2142">
        <v>3183</v>
      </c>
      <c r="C2142">
        <v>2006</v>
      </c>
      <c r="D2142" s="7">
        <v>45581</v>
      </c>
      <c r="E2142" t="s">
        <v>212</v>
      </c>
      <c r="F2142" t="s">
        <v>215</v>
      </c>
      <c r="G2142">
        <v>90</v>
      </c>
      <c r="H2142" s="7">
        <v>45595</v>
      </c>
      <c r="I2142" t="s">
        <v>217</v>
      </c>
    </row>
    <row r="2143" spans="1:9">
      <c r="A2143">
        <v>52142</v>
      </c>
      <c r="B2143">
        <v>3183</v>
      </c>
      <c r="C2143">
        <v>2006</v>
      </c>
      <c r="D2143" s="7">
        <v>45650</v>
      </c>
      <c r="E2143" t="s">
        <v>210</v>
      </c>
      <c r="F2143" t="s">
        <v>214</v>
      </c>
      <c r="H2143" s="7">
        <v>45680</v>
      </c>
      <c r="I2143" t="s">
        <v>203</v>
      </c>
    </row>
    <row r="2144" spans="1:9">
      <c r="A2144">
        <v>52143</v>
      </c>
      <c r="B2144">
        <v>3183</v>
      </c>
      <c r="C2144">
        <v>2006</v>
      </c>
      <c r="D2144" s="7">
        <v>45664</v>
      </c>
      <c r="E2144" t="s">
        <v>212</v>
      </c>
      <c r="F2144" t="s">
        <v>202</v>
      </c>
      <c r="G2144">
        <v>45</v>
      </c>
      <c r="H2144" s="7">
        <v>45678</v>
      </c>
      <c r="I2144" t="s">
        <v>207</v>
      </c>
    </row>
    <row r="2145" spans="1:9">
      <c r="A2145">
        <v>52144</v>
      </c>
      <c r="B2145">
        <v>3183</v>
      </c>
      <c r="C2145">
        <v>2006</v>
      </c>
      <c r="D2145" s="7">
        <v>45696</v>
      </c>
      <c r="E2145" t="s">
        <v>204</v>
      </c>
      <c r="F2145" t="s">
        <v>214</v>
      </c>
      <c r="H2145" s="7">
        <v>45710</v>
      </c>
      <c r="I2145" t="s">
        <v>216</v>
      </c>
    </row>
    <row r="2146" spans="1:9">
      <c r="A2146">
        <v>52145</v>
      </c>
      <c r="B2146">
        <v>3183</v>
      </c>
      <c r="C2146">
        <v>2006</v>
      </c>
      <c r="D2146" s="7">
        <v>45729</v>
      </c>
      <c r="E2146" t="s">
        <v>212</v>
      </c>
      <c r="F2146" t="s">
        <v>202</v>
      </c>
      <c r="G2146">
        <v>10</v>
      </c>
      <c r="H2146" s="7">
        <v>45743</v>
      </c>
      <c r="I2146" t="s">
        <v>209</v>
      </c>
    </row>
    <row r="2147" spans="1:9">
      <c r="A2147">
        <v>52146</v>
      </c>
      <c r="B2147">
        <v>3183</v>
      </c>
      <c r="C2147">
        <v>2006</v>
      </c>
      <c r="D2147" s="7">
        <v>45832</v>
      </c>
      <c r="E2147" t="s">
        <v>210</v>
      </c>
      <c r="F2147" t="s">
        <v>214</v>
      </c>
      <c r="H2147" s="7">
        <v>45862</v>
      </c>
      <c r="I2147" t="s">
        <v>211</v>
      </c>
    </row>
    <row r="2148" spans="1:9">
      <c r="A2148">
        <v>52147</v>
      </c>
      <c r="B2148">
        <v>3183</v>
      </c>
      <c r="C2148">
        <v>2006</v>
      </c>
      <c r="D2148" s="7">
        <v>45932</v>
      </c>
      <c r="E2148" t="s">
        <v>201</v>
      </c>
      <c r="F2148" t="s">
        <v>205</v>
      </c>
      <c r="H2148" s="7"/>
      <c r="I2148" t="s">
        <v>216</v>
      </c>
    </row>
    <row r="2149" spans="1:9">
      <c r="A2149">
        <v>52148</v>
      </c>
      <c r="B2149">
        <v>3183</v>
      </c>
      <c r="C2149">
        <v>2006</v>
      </c>
      <c r="D2149" s="7">
        <v>45939</v>
      </c>
      <c r="E2149" t="s">
        <v>219</v>
      </c>
      <c r="F2149" t="s">
        <v>213</v>
      </c>
      <c r="H2149" s="7">
        <v>45969</v>
      </c>
      <c r="I2149" t="s">
        <v>209</v>
      </c>
    </row>
    <row r="2150" spans="1:9">
      <c r="A2150">
        <v>52149</v>
      </c>
      <c r="B2150">
        <v>3184</v>
      </c>
      <c r="C2150">
        <v>2012</v>
      </c>
      <c r="D2150" s="7">
        <v>45785</v>
      </c>
      <c r="E2150" t="s">
        <v>219</v>
      </c>
      <c r="F2150" t="s">
        <v>202</v>
      </c>
      <c r="G2150">
        <v>15</v>
      </c>
      <c r="H2150" s="7">
        <v>45792</v>
      </c>
      <c r="I2150" t="s">
        <v>203</v>
      </c>
    </row>
    <row r="2151" spans="1:9">
      <c r="A2151">
        <v>52150</v>
      </c>
      <c r="B2151">
        <v>3184</v>
      </c>
      <c r="C2151">
        <v>2012</v>
      </c>
      <c r="D2151" s="7">
        <v>45796</v>
      </c>
      <c r="E2151" t="s">
        <v>208</v>
      </c>
      <c r="F2151" t="s">
        <v>202</v>
      </c>
      <c r="G2151">
        <v>60</v>
      </c>
      <c r="H2151" s="7">
        <v>45799</v>
      </c>
      <c r="I2151" t="s">
        <v>209</v>
      </c>
    </row>
    <row r="2152" spans="1:9">
      <c r="A2152">
        <v>52151</v>
      </c>
      <c r="B2152">
        <v>3184</v>
      </c>
      <c r="C2152">
        <v>2012</v>
      </c>
      <c r="D2152" s="7">
        <v>45823</v>
      </c>
      <c r="E2152" t="s">
        <v>201</v>
      </c>
      <c r="F2152" t="s">
        <v>215</v>
      </c>
      <c r="G2152">
        <v>30</v>
      </c>
      <c r="H2152" s="7">
        <v>45853</v>
      </c>
      <c r="I2152" t="s">
        <v>211</v>
      </c>
    </row>
    <row r="2153" spans="1:9">
      <c r="A2153">
        <v>52152</v>
      </c>
      <c r="B2153">
        <v>3184</v>
      </c>
      <c r="C2153">
        <v>2012</v>
      </c>
      <c r="D2153" s="7">
        <v>45869</v>
      </c>
      <c r="E2153" t="s">
        <v>219</v>
      </c>
      <c r="F2153" t="s">
        <v>202</v>
      </c>
      <c r="G2153">
        <v>60</v>
      </c>
      <c r="H2153" s="7">
        <v>45876</v>
      </c>
      <c r="I2153" t="s">
        <v>209</v>
      </c>
    </row>
    <row r="2154" spans="1:9">
      <c r="A2154">
        <v>52153</v>
      </c>
      <c r="B2154">
        <v>3184</v>
      </c>
      <c r="C2154">
        <v>2012</v>
      </c>
      <c r="D2154" s="7">
        <v>45904</v>
      </c>
      <c r="E2154" t="s">
        <v>201</v>
      </c>
      <c r="F2154" t="s">
        <v>205</v>
      </c>
      <c r="H2154" s="7"/>
      <c r="I2154" t="s">
        <v>203</v>
      </c>
    </row>
    <row r="2155" spans="1:9">
      <c r="A2155">
        <v>52154</v>
      </c>
      <c r="B2155">
        <v>3184</v>
      </c>
      <c r="C2155">
        <v>2012</v>
      </c>
      <c r="D2155" s="7">
        <v>45965</v>
      </c>
      <c r="E2155" t="s">
        <v>219</v>
      </c>
      <c r="F2155" t="s">
        <v>202</v>
      </c>
      <c r="G2155">
        <v>20</v>
      </c>
      <c r="H2155" s="7">
        <v>45979</v>
      </c>
      <c r="I2155" t="s">
        <v>206</v>
      </c>
    </row>
    <row r="2156" spans="1:9">
      <c r="A2156">
        <v>52155</v>
      </c>
      <c r="B2156">
        <v>3184</v>
      </c>
      <c r="C2156">
        <v>2012</v>
      </c>
      <c r="D2156" s="7">
        <v>45973</v>
      </c>
      <c r="E2156" t="s">
        <v>201</v>
      </c>
      <c r="F2156" t="s">
        <v>202</v>
      </c>
      <c r="G2156">
        <v>60</v>
      </c>
      <c r="H2156" s="7">
        <v>45987</v>
      </c>
      <c r="I2156" t="s">
        <v>207</v>
      </c>
    </row>
    <row r="2157" spans="1:9">
      <c r="A2157">
        <v>52156</v>
      </c>
      <c r="B2157">
        <v>3184</v>
      </c>
      <c r="C2157">
        <v>2012</v>
      </c>
      <c r="D2157" s="7">
        <v>45996</v>
      </c>
      <c r="E2157" t="s">
        <v>204</v>
      </c>
      <c r="F2157" t="s">
        <v>214</v>
      </c>
      <c r="H2157" s="7">
        <v>46026</v>
      </c>
      <c r="I2157" t="s">
        <v>217</v>
      </c>
    </row>
    <row r="2158" spans="1:9">
      <c r="A2158">
        <v>52157</v>
      </c>
      <c r="B2158">
        <v>3184</v>
      </c>
      <c r="C2158">
        <v>2012</v>
      </c>
      <c r="D2158" s="7">
        <v>46027</v>
      </c>
      <c r="E2158" t="s">
        <v>204</v>
      </c>
      <c r="F2158" t="s">
        <v>213</v>
      </c>
      <c r="H2158" s="7">
        <v>46041</v>
      </c>
      <c r="I2158" t="s">
        <v>216</v>
      </c>
    </row>
    <row r="2159" spans="1:9">
      <c r="A2159">
        <v>52158</v>
      </c>
      <c r="B2159">
        <v>3184</v>
      </c>
      <c r="C2159">
        <v>2012</v>
      </c>
      <c r="D2159" s="7">
        <v>46082</v>
      </c>
      <c r="E2159" t="s">
        <v>204</v>
      </c>
      <c r="F2159" t="s">
        <v>213</v>
      </c>
      <c r="H2159" s="7">
        <v>46096</v>
      </c>
      <c r="I2159" t="s">
        <v>216</v>
      </c>
    </row>
    <row r="2160" spans="1:9">
      <c r="A2160">
        <v>52159</v>
      </c>
      <c r="B2160">
        <v>3184</v>
      </c>
      <c r="C2160">
        <v>2012</v>
      </c>
      <c r="D2160" s="7">
        <v>46088</v>
      </c>
      <c r="E2160" t="s">
        <v>204</v>
      </c>
      <c r="F2160" t="s">
        <v>202</v>
      </c>
      <c r="G2160">
        <v>15</v>
      </c>
      <c r="H2160" s="7">
        <v>46091</v>
      </c>
      <c r="I2160" t="s">
        <v>216</v>
      </c>
    </row>
    <row r="2161" spans="1:9">
      <c r="A2161">
        <v>52160</v>
      </c>
      <c r="B2161">
        <v>3184</v>
      </c>
      <c r="C2161">
        <v>2012</v>
      </c>
      <c r="D2161" s="7">
        <v>46101</v>
      </c>
      <c r="E2161" t="s">
        <v>212</v>
      </c>
      <c r="F2161" t="s">
        <v>202</v>
      </c>
      <c r="G2161">
        <v>20</v>
      </c>
      <c r="H2161" s="7">
        <v>46104</v>
      </c>
      <c r="I2161" t="s">
        <v>211</v>
      </c>
    </row>
    <row r="2162" spans="1:9">
      <c r="A2162">
        <v>52161</v>
      </c>
      <c r="B2162">
        <v>3184</v>
      </c>
      <c r="C2162">
        <v>2012</v>
      </c>
      <c r="D2162" s="7">
        <v>46163</v>
      </c>
      <c r="E2162" t="s">
        <v>208</v>
      </c>
      <c r="F2162" t="s">
        <v>202</v>
      </c>
      <c r="G2162">
        <v>10</v>
      </c>
      <c r="H2162" s="7">
        <v>46166</v>
      </c>
      <c r="I2162" t="s">
        <v>209</v>
      </c>
    </row>
    <row r="2163" spans="1:9">
      <c r="A2163">
        <v>52162</v>
      </c>
      <c r="B2163">
        <v>3184</v>
      </c>
      <c r="C2163">
        <v>2012</v>
      </c>
      <c r="D2163" s="7">
        <v>46197</v>
      </c>
      <c r="E2163" t="s">
        <v>208</v>
      </c>
      <c r="F2163" t="s">
        <v>202</v>
      </c>
      <c r="G2163">
        <v>15</v>
      </c>
      <c r="H2163" s="7">
        <v>46200</v>
      </c>
      <c r="I2163" t="s">
        <v>211</v>
      </c>
    </row>
    <row r="2164" spans="1:9">
      <c r="A2164">
        <v>52163</v>
      </c>
      <c r="B2164">
        <v>3184</v>
      </c>
      <c r="C2164">
        <v>2012</v>
      </c>
      <c r="D2164" s="7">
        <v>46199</v>
      </c>
      <c r="E2164" t="s">
        <v>208</v>
      </c>
      <c r="F2164" t="s">
        <v>202</v>
      </c>
      <c r="G2164">
        <v>20</v>
      </c>
      <c r="H2164" s="7"/>
      <c r="I2164" t="s">
        <v>216</v>
      </c>
    </row>
    <row r="2165" spans="1:9">
      <c r="A2165">
        <v>52164</v>
      </c>
      <c r="B2165">
        <v>3185</v>
      </c>
      <c r="C2165">
        <v>2007</v>
      </c>
      <c r="D2165" s="7">
        <v>45800</v>
      </c>
      <c r="E2165" t="s">
        <v>212</v>
      </c>
      <c r="F2165" t="s">
        <v>202</v>
      </c>
      <c r="G2165">
        <v>10</v>
      </c>
      <c r="H2165" s="7">
        <v>45803</v>
      </c>
      <c r="I2165" t="s">
        <v>206</v>
      </c>
    </row>
    <row r="2166" spans="1:9">
      <c r="A2166">
        <v>52165</v>
      </c>
      <c r="B2166">
        <v>3185</v>
      </c>
      <c r="C2166">
        <v>2007</v>
      </c>
      <c r="D2166" s="7">
        <v>45820</v>
      </c>
      <c r="E2166" t="s">
        <v>204</v>
      </c>
      <c r="F2166" t="s">
        <v>202</v>
      </c>
      <c r="G2166">
        <v>10</v>
      </c>
      <c r="H2166" s="7">
        <v>45827</v>
      </c>
      <c r="I2166" t="s">
        <v>211</v>
      </c>
    </row>
    <row r="2167" spans="1:9">
      <c r="A2167">
        <v>52166</v>
      </c>
      <c r="B2167">
        <v>3185</v>
      </c>
      <c r="C2167">
        <v>2007</v>
      </c>
      <c r="D2167" s="7">
        <v>45882</v>
      </c>
      <c r="E2167" t="s">
        <v>204</v>
      </c>
      <c r="F2167" t="s">
        <v>202</v>
      </c>
      <c r="G2167">
        <v>60</v>
      </c>
      <c r="H2167" s="7">
        <v>45903</v>
      </c>
      <c r="I2167" t="s">
        <v>216</v>
      </c>
    </row>
    <row r="2168" spans="1:9">
      <c r="A2168">
        <v>52167</v>
      </c>
      <c r="B2168">
        <v>3185</v>
      </c>
      <c r="C2168">
        <v>2007</v>
      </c>
      <c r="D2168" s="7">
        <v>45935</v>
      </c>
      <c r="E2168" t="s">
        <v>212</v>
      </c>
      <c r="F2168" t="s">
        <v>202</v>
      </c>
      <c r="G2168">
        <v>60</v>
      </c>
      <c r="H2168" s="7">
        <v>45949</v>
      </c>
      <c r="I2168" t="s">
        <v>211</v>
      </c>
    </row>
    <row r="2169" spans="1:9">
      <c r="A2169">
        <v>52168</v>
      </c>
      <c r="B2169">
        <v>3185</v>
      </c>
      <c r="C2169">
        <v>2007</v>
      </c>
      <c r="D2169" s="7">
        <v>45954</v>
      </c>
      <c r="E2169" t="s">
        <v>204</v>
      </c>
      <c r="F2169" t="s">
        <v>202</v>
      </c>
      <c r="G2169">
        <v>15</v>
      </c>
      <c r="H2169" s="7">
        <v>45957</v>
      </c>
      <c r="I2169" t="s">
        <v>206</v>
      </c>
    </row>
    <row r="2170" spans="1:9">
      <c r="A2170">
        <v>52169</v>
      </c>
      <c r="B2170">
        <v>3185</v>
      </c>
      <c r="C2170">
        <v>2007</v>
      </c>
      <c r="D2170" s="7">
        <v>45980</v>
      </c>
      <c r="E2170" t="s">
        <v>212</v>
      </c>
      <c r="F2170" t="s">
        <v>214</v>
      </c>
      <c r="H2170" s="7">
        <v>46010</v>
      </c>
      <c r="I2170" t="s">
        <v>211</v>
      </c>
    </row>
    <row r="2171" spans="1:9">
      <c r="A2171">
        <v>52170</v>
      </c>
      <c r="B2171">
        <v>3185</v>
      </c>
      <c r="C2171">
        <v>2007</v>
      </c>
      <c r="D2171" s="7">
        <v>46000</v>
      </c>
      <c r="E2171" t="s">
        <v>204</v>
      </c>
      <c r="F2171" t="s">
        <v>202</v>
      </c>
      <c r="G2171">
        <v>45</v>
      </c>
      <c r="H2171" s="7">
        <v>46014</v>
      </c>
      <c r="I2171" t="s">
        <v>211</v>
      </c>
    </row>
    <row r="2172" spans="1:9">
      <c r="A2172">
        <v>52171</v>
      </c>
      <c r="B2172">
        <v>3185</v>
      </c>
      <c r="C2172">
        <v>2007</v>
      </c>
      <c r="D2172" s="7">
        <v>46186</v>
      </c>
      <c r="E2172" t="s">
        <v>212</v>
      </c>
      <c r="F2172" t="s">
        <v>218</v>
      </c>
      <c r="H2172" s="7"/>
      <c r="I2172" t="s">
        <v>203</v>
      </c>
    </row>
    <row r="2173" spans="1:9">
      <c r="A2173">
        <v>52172</v>
      </c>
      <c r="B2173">
        <v>3185</v>
      </c>
      <c r="C2173">
        <v>2007</v>
      </c>
      <c r="D2173" s="7">
        <v>46213</v>
      </c>
      <c r="E2173" t="s">
        <v>204</v>
      </c>
      <c r="F2173" t="s">
        <v>202</v>
      </c>
      <c r="G2173">
        <v>60</v>
      </c>
      <c r="H2173" s="7"/>
      <c r="I2173" t="s">
        <v>209</v>
      </c>
    </row>
    <row r="2174" spans="1:9">
      <c r="A2174">
        <v>52173</v>
      </c>
      <c r="B2174">
        <v>3186</v>
      </c>
      <c r="C2174">
        <v>2013</v>
      </c>
      <c r="D2174" s="7">
        <v>46044</v>
      </c>
      <c r="E2174" t="s">
        <v>204</v>
      </c>
      <c r="F2174" t="s">
        <v>215</v>
      </c>
      <c r="G2174">
        <v>30</v>
      </c>
      <c r="H2174" s="7">
        <v>46047</v>
      </c>
      <c r="I2174" t="s">
        <v>216</v>
      </c>
    </row>
    <row r="2175" spans="1:9">
      <c r="A2175">
        <v>52174</v>
      </c>
      <c r="B2175">
        <v>3186</v>
      </c>
      <c r="C2175">
        <v>2013</v>
      </c>
      <c r="D2175" s="7">
        <v>46044</v>
      </c>
      <c r="E2175" t="s">
        <v>201</v>
      </c>
      <c r="F2175" t="s">
        <v>213</v>
      </c>
      <c r="H2175" s="7">
        <v>46058</v>
      </c>
      <c r="I2175" t="s">
        <v>206</v>
      </c>
    </row>
    <row r="2176" spans="1:9">
      <c r="A2176">
        <v>52175</v>
      </c>
      <c r="B2176">
        <v>3186</v>
      </c>
      <c r="C2176">
        <v>2013</v>
      </c>
      <c r="D2176" s="7">
        <v>46053</v>
      </c>
      <c r="E2176" t="s">
        <v>204</v>
      </c>
      <c r="F2176" t="s">
        <v>202</v>
      </c>
      <c r="G2176">
        <v>90</v>
      </c>
      <c r="H2176" s="7">
        <v>46056</v>
      </c>
      <c r="I2176" t="s">
        <v>203</v>
      </c>
    </row>
    <row r="2177" spans="1:9">
      <c r="A2177">
        <v>52176</v>
      </c>
      <c r="B2177">
        <v>3186</v>
      </c>
      <c r="C2177">
        <v>2013</v>
      </c>
      <c r="D2177" s="7">
        <v>46055</v>
      </c>
      <c r="E2177" t="s">
        <v>219</v>
      </c>
      <c r="F2177" t="s">
        <v>202</v>
      </c>
      <c r="G2177">
        <v>15</v>
      </c>
      <c r="H2177" s="7">
        <v>46085</v>
      </c>
      <c r="I2177" t="s">
        <v>206</v>
      </c>
    </row>
    <row r="2178" spans="1:9">
      <c r="A2178">
        <v>52177</v>
      </c>
      <c r="B2178">
        <v>3186</v>
      </c>
      <c r="C2178">
        <v>2013</v>
      </c>
      <c r="D2178" s="7">
        <v>46064</v>
      </c>
      <c r="E2178" t="s">
        <v>212</v>
      </c>
      <c r="F2178" t="s">
        <v>213</v>
      </c>
      <c r="H2178" s="7">
        <v>46094</v>
      </c>
      <c r="I2178" t="s">
        <v>206</v>
      </c>
    </row>
    <row r="2179" spans="1:9">
      <c r="A2179">
        <v>52178</v>
      </c>
      <c r="B2179">
        <v>3186</v>
      </c>
      <c r="C2179">
        <v>2013</v>
      </c>
      <c r="D2179" s="7">
        <v>46072</v>
      </c>
      <c r="E2179" t="s">
        <v>210</v>
      </c>
      <c r="F2179" t="s">
        <v>213</v>
      </c>
      <c r="H2179" s="7">
        <v>46093</v>
      </c>
      <c r="I2179" t="s">
        <v>217</v>
      </c>
    </row>
    <row r="2180" spans="1:9">
      <c r="A2180">
        <v>52179</v>
      </c>
      <c r="B2180">
        <v>3186</v>
      </c>
      <c r="C2180">
        <v>2013</v>
      </c>
      <c r="D2180" s="7">
        <v>46090</v>
      </c>
      <c r="E2180" t="s">
        <v>212</v>
      </c>
      <c r="F2180" t="s">
        <v>202</v>
      </c>
      <c r="G2180">
        <v>15</v>
      </c>
      <c r="H2180" s="7">
        <v>46120</v>
      </c>
      <c r="I2180" t="s">
        <v>216</v>
      </c>
    </row>
    <row r="2181" spans="1:9">
      <c r="A2181">
        <v>52180</v>
      </c>
      <c r="B2181">
        <v>3186</v>
      </c>
      <c r="C2181">
        <v>2013</v>
      </c>
      <c r="D2181" s="7">
        <v>46096</v>
      </c>
      <c r="E2181" t="s">
        <v>212</v>
      </c>
      <c r="F2181" t="s">
        <v>202</v>
      </c>
      <c r="G2181">
        <v>15</v>
      </c>
      <c r="H2181" s="7">
        <v>46110</v>
      </c>
      <c r="I2181" t="s">
        <v>203</v>
      </c>
    </row>
    <row r="2182" spans="1:9">
      <c r="A2182">
        <v>52181</v>
      </c>
      <c r="B2182">
        <v>3186</v>
      </c>
      <c r="C2182">
        <v>2013</v>
      </c>
      <c r="D2182" s="7">
        <v>46116</v>
      </c>
      <c r="E2182" t="s">
        <v>208</v>
      </c>
      <c r="F2182" t="s">
        <v>213</v>
      </c>
      <c r="H2182" s="7">
        <v>46137</v>
      </c>
      <c r="I2182" t="s">
        <v>217</v>
      </c>
    </row>
    <row r="2183" spans="1:9">
      <c r="A2183">
        <v>52182</v>
      </c>
      <c r="B2183">
        <v>3186</v>
      </c>
      <c r="C2183">
        <v>2013</v>
      </c>
      <c r="D2183" s="7">
        <v>46153</v>
      </c>
      <c r="E2183" t="s">
        <v>212</v>
      </c>
      <c r="F2183" t="s">
        <v>215</v>
      </c>
      <c r="G2183">
        <v>90</v>
      </c>
      <c r="H2183" s="7">
        <v>46174</v>
      </c>
      <c r="I2183" t="s">
        <v>209</v>
      </c>
    </row>
    <row r="2184" spans="1:9">
      <c r="A2184">
        <v>52183</v>
      </c>
      <c r="B2184">
        <v>3186</v>
      </c>
      <c r="C2184">
        <v>2013</v>
      </c>
      <c r="D2184" s="7">
        <v>46163</v>
      </c>
      <c r="E2184" t="s">
        <v>201</v>
      </c>
      <c r="F2184" t="s">
        <v>202</v>
      </c>
      <c r="G2184">
        <v>90</v>
      </c>
      <c r="H2184" s="7">
        <v>46166</v>
      </c>
      <c r="I2184" t="s">
        <v>203</v>
      </c>
    </row>
    <row r="2185" spans="1:9">
      <c r="A2185">
        <v>52184</v>
      </c>
      <c r="B2185">
        <v>3186</v>
      </c>
      <c r="C2185">
        <v>2013</v>
      </c>
      <c r="D2185" s="7">
        <v>46170</v>
      </c>
      <c r="E2185" t="s">
        <v>210</v>
      </c>
      <c r="F2185" t="s">
        <v>205</v>
      </c>
      <c r="H2185" s="7"/>
      <c r="I2185" t="s">
        <v>211</v>
      </c>
    </row>
    <row r="2186" spans="1:9">
      <c r="A2186">
        <v>52185</v>
      </c>
      <c r="B2186">
        <v>3186</v>
      </c>
      <c r="C2186">
        <v>2013</v>
      </c>
      <c r="D2186" s="7">
        <v>46210</v>
      </c>
      <c r="E2186" t="s">
        <v>212</v>
      </c>
      <c r="F2186" t="s">
        <v>213</v>
      </c>
      <c r="H2186" s="7"/>
      <c r="I2186" t="s">
        <v>209</v>
      </c>
    </row>
    <row r="2187" spans="1:9">
      <c r="A2187">
        <v>52186</v>
      </c>
      <c r="B2187">
        <v>3186</v>
      </c>
      <c r="C2187">
        <v>2013</v>
      </c>
      <c r="D2187" s="7">
        <v>46211</v>
      </c>
      <c r="E2187" t="s">
        <v>204</v>
      </c>
      <c r="F2187" t="s">
        <v>214</v>
      </c>
      <c r="H2187" s="7"/>
      <c r="I2187" t="s">
        <v>207</v>
      </c>
    </row>
    <row r="2188" spans="1:9">
      <c r="A2188">
        <v>52187</v>
      </c>
      <c r="B2188">
        <v>3187</v>
      </c>
      <c r="C2188">
        <v>2008</v>
      </c>
      <c r="D2188" s="7">
        <v>46171</v>
      </c>
      <c r="E2188" t="s">
        <v>210</v>
      </c>
      <c r="F2188" t="s">
        <v>202</v>
      </c>
      <c r="G2188">
        <v>10</v>
      </c>
      <c r="H2188" s="7">
        <v>46185</v>
      </c>
      <c r="I2188" t="s">
        <v>217</v>
      </c>
    </row>
    <row r="2189" spans="1:9">
      <c r="A2189">
        <v>52188</v>
      </c>
      <c r="B2189">
        <v>3187</v>
      </c>
      <c r="C2189">
        <v>2008</v>
      </c>
      <c r="D2189" s="7">
        <v>46173</v>
      </c>
      <c r="E2189" t="s">
        <v>210</v>
      </c>
      <c r="F2189" t="s">
        <v>214</v>
      </c>
      <c r="H2189" s="7">
        <v>46180</v>
      </c>
      <c r="I2189" t="s">
        <v>207</v>
      </c>
    </row>
    <row r="2190" spans="1:9">
      <c r="A2190">
        <v>52189</v>
      </c>
      <c r="B2190">
        <v>3187</v>
      </c>
      <c r="C2190">
        <v>2008</v>
      </c>
      <c r="D2190" s="7">
        <v>46175</v>
      </c>
      <c r="E2190" t="s">
        <v>204</v>
      </c>
      <c r="F2190" t="s">
        <v>202</v>
      </c>
      <c r="G2190">
        <v>20</v>
      </c>
      <c r="H2190" s="7">
        <v>46196</v>
      </c>
      <c r="I2190" t="s">
        <v>203</v>
      </c>
    </row>
    <row r="2191" spans="1:9">
      <c r="A2191">
        <v>52190</v>
      </c>
      <c r="B2191">
        <v>3187</v>
      </c>
      <c r="C2191">
        <v>2008</v>
      </c>
      <c r="D2191" s="7">
        <v>46178</v>
      </c>
      <c r="E2191" t="s">
        <v>219</v>
      </c>
      <c r="F2191" t="s">
        <v>215</v>
      </c>
      <c r="G2191">
        <v>15</v>
      </c>
      <c r="H2191" s="7">
        <v>46192</v>
      </c>
      <c r="I2191" t="s">
        <v>203</v>
      </c>
    </row>
    <row r="2192" spans="1:9">
      <c r="A2192">
        <v>52191</v>
      </c>
      <c r="B2192">
        <v>3187</v>
      </c>
      <c r="C2192">
        <v>2008</v>
      </c>
      <c r="D2192" s="7">
        <v>46188</v>
      </c>
      <c r="E2192" t="s">
        <v>212</v>
      </c>
      <c r="F2192" t="s">
        <v>202</v>
      </c>
      <c r="G2192">
        <v>20</v>
      </c>
      <c r="H2192" s="7">
        <v>46202</v>
      </c>
      <c r="I2192" t="s">
        <v>209</v>
      </c>
    </row>
    <row r="2193" spans="1:9">
      <c r="A2193">
        <v>52192</v>
      </c>
      <c r="B2193">
        <v>3187</v>
      </c>
      <c r="C2193">
        <v>2008</v>
      </c>
      <c r="D2193" s="7">
        <v>46189</v>
      </c>
      <c r="E2193" t="s">
        <v>204</v>
      </c>
      <c r="F2193" t="s">
        <v>202</v>
      </c>
      <c r="G2193">
        <v>20</v>
      </c>
      <c r="H2193" s="7"/>
      <c r="I2193" t="s">
        <v>209</v>
      </c>
    </row>
    <row r="2194" spans="1:9">
      <c r="A2194">
        <v>52193</v>
      </c>
      <c r="B2194">
        <v>3187</v>
      </c>
      <c r="C2194">
        <v>2008</v>
      </c>
      <c r="D2194" s="7">
        <v>46191</v>
      </c>
      <c r="E2194" t="s">
        <v>210</v>
      </c>
      <c r="F2194" t="s">
        <v>213</v>
      </c>
      <c r="H2194" s="7">
        <v>46194</v>
      </c>
      <c r="I2194" t="s">
        <v>207</v>
      </c>
    </row>
    <row r="2195" spans="1:9">
      <c r="A2195">
        <v>52194</v>
      </c>
      <c r="B2195">
        <v>3187</v>
      </c>
      <c r="C2195">
        <v>2008</v>
      </c>
      <c r="D2195" s="7">
        <v>46192</v>
      </c>
      <c r="E2195" t="s">
        <v>212</v>
      </c>
      <c r="F2195" t="s">
        <v>202</v>
      </c>
      <c r="G2195">
        <v>15</v>
      </c>
      <c r="H2195" s="7">
        <v>46213</v>
      </c>
      <c r="I2195" t="s">
        <v>206</v>
      </c>
    </row>
    <row r="2196" spans="1:9">
      <c r="A2196">
        <v>52195</v>
      </c>
      <c r="B2196">
        <v>3187</v>
      </c>
      <c r="C2196">
        <v>2008</v>
      </c>
      <c r="D2196" s="7">
        <v>46193</v>
      </c>
      <c r="E2196" t="s">
        <v>208</v>
      </c>
      <c r="F2196" t="s">
        <v>202</v>
      </c>
      <c r="G2196">
        <v>60</v>
      </c>
      <c r="H2196" s="7">
        <v>46200</v>
      </c>
      <c r="I2196" t="s">
        <v>217</v>
      </c>
    </row>
    <row r="2197" spans="1:9">
      <c r="A2197">
        <v>52196</v>
      </c>
      <c r="B2197">
        <v>3187</v>
      </c>
      <c r="C2197">
        <v>2008</v>
      </c>
      <c r="D2197" s="7">
        <v>46207</v>
      </c>
      <c r="E2197" t="s">
        <v>212</v>
      </c>
      <c r="F2197" t="s">
        <v>205</v>
      </c>
      <c r="H2197" s="7"/>
      <c r="I2197" t="s">
        <v>207</v>
      </c>
    </row>
    <row r="2198" spans="1:9">
      <c r="A2198">
        <v>52197</v>
      </c>
      <c r="B2198">
        <v>3187</v>
      </c>
      <c r="C2198">
        <v>2008</v>
      </c>
      <c r="D2198" s="7">
        <v>46210</v>
      </c>
      <c r="E2198" t="s">
        <v>204</v>
      </c>
      <c r="F2198" t="s">
        <v>215</v>
      </c>
      <c r="G2198">
        <v>60</v>
      </c>
      <c r="H2198" s="7">
        <v>46213</v>
      </c>
      <c r="I2198" t="s">
        <v>211</v>
      </c>
    </row>
    <row r="2199" spans="1:9">
      <c r="A2199">
        <v>52198</v>
      </c>
      <c r="B2199">
        <v>3187</v>
      </c>
      <c r="C2199">
        <v>2008</v>
      </c>
      <c r="D2199" s="7">
        <v>46211</v>
      </c>
      <c r="E2199" t="s">
        <v>212</v>
      </c>
      <c r="F2199" t="s">
        <v>213</v>
      </c>
      <c r="H2199" s="7"/>
      <c r="I2199" t="s">
        <v>203</v>
      </c>
    </row>
    <row r="2200" spans="1:9">
      <c r="A2200">
        <v>52199</v>
      </c>
      <c r="B2200">
        <v>3188</v>
      </c>
      <c r="C2200">
        <v>2015</v>
      </c>
      <c r="D2200" s="7">
        <v>46052</v>
      </c>
      <c r="E2200" t="s">
        <v>210</v>
      </c>
      <c r="F2200" t="s">
        <v>218</v>
      </c>
      <c r="H2200" s="7"/>
      <c r="I2200" t="s">
        <v>203</v>
      </c>
    </row>
    <row r="2201" spans="1:9">
      <c r="A2201">
        <v>52200</v>
      </c>
      <c r="B2201">
        <v>3188</v>
      </c>
      <c r="C2201">
        <v>2015</v>
      </c>
      <c r="D2201" s="7">
        <v>46068</v>
      </c>
      <c r="E2201" t="s">
        <v>204</v>
      </c>
      <c r="F2201" t="s">
        <v>202</v>
      </c>
      <c r="G2201">
        <v>15</v>
      </c>
      <c r="H2201" s="7">
        <v>46071</v>
      </c>
      <c r="I2201" t="s">
        <v>211</v>
      </c>
    </row>
    <row r="2202" spans="1:9">
      <c r="A2202">
        <v>52201</v>
      </c>
      <c r="B2202">
        <v>3188</v>
      </c>
      <c r="C2202">
        <v>2015</v>
      </c>
      <c r="D2202" s="7">
        <v>46087</v>
      </c>
      <c r="E2202" t="s">
        <v>201</v>
      </c>
      <c r="F2202" t="s">
        <v>202</v>
      </c>
      <c r="G2202">
        <v>30</v>
      </c>
      <c r="H2202" s="7">
        <v>46090</v>
      </c>
      <c r="I2202" t="s">
        <v>206</v>
      </c>
    </row>
    <row r="2203" spans="1:9">
      <c r="A2203">
        <v>52202</v>
      </c>
      <c r="B2203">
        <v>3188</v>
      </c>
      <c r="C2203">
        <v>2015</v>
      </c>
      <c r="D2203" s="7">
        <v>46091</v>
      </c>
      <c r="E2203" t="s">
        <v>219</v>
      </c>
      <c r="F2203" t="s">
        <v>202</v>
      </c>
      <c r="G2203">
        <v>10</v>
      </c>
      <c r="H2203" s="7">
        <v>46098</v>
      </c>
      <c r="I2203" t="s">
        <v>216</v>
      </c>
    </row>
    <row r="2204" spans="1:9">
      <c r="A2204">
        <v>52203</v>
      </c>
      <c r="B2204">
        <v>3188</v>
      </c>
      <c r="C2204">
        <v>2015</v>
      </c>
      <c r="D2204" s="7">
        <v>46111</v>
      </c>
      <c r="E2204" t="s">
        <v>210</v>
      </c>
      <c r="F2204" t="s">
        <v>213</v>
      </c>
      <c r="H2204" s="7">
        <v>46125</v>
      </c>
      <c r="I2204" t="s">
        <v>209</v>
      </c>
    </row>
    <row r="2205" spans="1:9">
      <c r="A2205">
        <v>52204</v>
      </c>
      <c r="B2205">
        <v>3188</v>
      </c>
      <c r="C2205">
        <v>2015</v>
      </c>
      <c r="D2205" s="7">
        <v>46124</v>
      </c>
      <c r="E2205" t="s">
        <v>210</v>
      </c>
      <c r="F2205" t="s">
        <v>214</v>
      </c>
      <c r="H2205" s="7">
        <v>46145</v>
      </c>
      <c r="I2205" t="s">
        <v>216</v>
      </c>
    </row>
    <row r="2206" spans="1:9">
      <c r="A2206">
        <v>52205</v>
      </c>
      <c r="B2206">
        <v>3188</v>
      </c>
      <c r="C2206">
        <v>2015</v>
      </c>
      <c r="D2206" s="7">
        <v>46149</v>
      </c>
      <c r="E2206" t="s">
        <v>204</v>
      </c>
      <c r="F2206" t="s">
        <v>218</v>
      </c>
      <c r="H2206" s="7"/>
      <c r="I2206" t="s">
        <v>203</v>
      </c>
    </row>
    <row r="2207" spans="1:9">
      <c r="A2207">
        <v>52206</v>
      </c>
      <c r="B2207">
        <v>3188</v>
      </c>
      <c r="C2207">
        <v>2015</v>
      </c>
      <c r="D2207" s="7">
        <v>46152</v>
      </c>
      <c r="E2207" t="s">
        <v>219</v>
      </c>
      <c r="F2207" t="s">
        <v>202</v>
      </c>
      <c r="G2207">
        <v>60</v>
      </c>
      <c r="H2207" s="7">
        <v>46173</v>
      </c>
      <c r="I2207" t="s">
        <v>206</v>
      </c>
    </row>
    <row r="2208" spans="1:9">
      <c r="A2208">
        <v>52207</v>
      </c>
      <c r="B2208">
        <v>3188</v>
      </c>
      <c r="C2208">
        <v>2015</v>
      </c>
      <c r="D2208" s="7">
        <v>46167</v>
      </c>
      <c r="E2208" t="s">
        <v>212</v>
      </c>
      <c r="F2208" t="s">
        <v>215</v>
      </c>
      <c r="G2208">
        <v>60</v>
      </c>
      <c r="H2208" s="7">
        <v>46170</v>
      </c>
      <c r="I2208" t="s">
        <v>209</v>
      </c>
    </row>
    <row r="2209" spans="1:9">
      <c r="A2209">
        <v>52208</v>
      </c>
      <c r="B2209">
        <v>3188</v>
      </c>
      <c r="C2209">
        <v>2015</v>
      </c>
      <c r="D2209" s="7">
        <v>46184</v>
      </c>
      <c r="E2209" t="s">
        <v>212</v>
      </c>
      <c r="F2209" t="s">
        <v>202</v>
      </c>
      <c r="G2209">
        <v>30</v>
      </c>
      <c r="H2209" s="7">
        <v>46205</v>
      </c>
      <c r="I2209" t="s">
        <v>203</v>
      </c>
    </row>
    <row r="2210" spans="1:9">
      <c r="A2210">
        <v>52209</v>
      </c>
      <c r="B2210">
        <v>3189</v>
      </c>
      <c r="C2210">
        <v>2014</v>
      </c>
      <c r="D2210" s="7">
        <v>45413</v>
      </c>
      <c r="E2210" t="s">
        <v>212</v>
      </c>
      <c r="F2210" t="s">
        <v>215</v>
      </c>
      <c r="G2210">
        <v>45</v>
      </c>
      <c r="H2210" s="7">
        <v>45416</v>
      </c>
      <c r="I2210" t="s">
        <v>203</v>
      </c>
    </row>
    <row r="2211" spans="1:9">
      <c r="A2211">
        <v>52210</v>
      </c>
      <c r="B2211">
        <v>3189</v>
      </c>
      <c r="C2211">
        <v>2014</v>
      </c>
      <c r="D2211" s="7">
        <v>45436</v>
      </c>
      <c r="E2211" t="s">
        <v>210</v>
      </c>
      <c r="F2211" t="s">
        <v>218</v>
      </c>
      <c r="H2211" s="7"/>
      <c r="I2211" t="s">
        <v>203</v>
      </c>
    </row>
    <row r="2212" spans="1:9">
      <c r="A2212">
        <v>52211</v>
      </c>
      <c r="B2212">
        <v>3189</v>
      </c>
      <c r="C2212">
        <v>2014</v>
      </c>
      <c r="D2212" s="7">
        <v>45706</v>
      </c>
      <c r="E2212" t="s">
        <v>219</v>
      </c>
      <c r="F2212" t="s">
        <v>202</v>
      </c>
      <c r="G2212">
        <v>30</v>
      </c>
      <c r="H2212" s="7">
        <v>45727</v>
      </c>
      <c r="I2212" t="s">
        <v>206</v>
      </c>
    </row>
    <row r="2213" spans="1:9">
      <c r="A2213">
        <v>52212</v>
      </c>
      <c r="B2213">
        <v>3189</v>
      </c>
      <c r="C2213">
        <v>2014</v>
      </c>
      <c r="D2213" s="7">
        <v>45936</v>
      </c>
      <c r="E2213" t="s">
        <v>212</v>
      </c>
      <c r="F2213" t="s">
        <v>202</v>
      </c>
      <c r="G2213">
        <v>30</v>
      </c>
      <c r="H2213" s="7">
        <v>45950</v>
      </c>
      <c r="I2213" t="s">
        <v>211</v>
      </c>
    </row>
    <row r="2214" spans="1:9">
      <c r="A2214">
        <v>52213</v>
      </c>
      <c r="B2214">
        <v>3189</v>
      </c>
      <c r="C2214">
        <v>2014</v>
      </c>
      <c r="D2214" s="7">
        <v>46100</v>
      </c>
      <c r="E2214" t="s">
        <v>212</v>
      </c>
      <c r="F2214" t="s">
        <v>205</v>
      </c>
      <c r="H2214" s="7"/>
      <c r="I2214" t="s">
        <v>211</v>
      </c>
    </row>
    <row r="2215" spans="1:9">
      <c r="A2215">
        <v>52214</v>
      </c>
      <c r="B2215">
        <v>3190</v>
      </c>
      <c r="C2215">
        <v>2009</v>
      </c>
      <c r="D2215" s="7">
        <v>45773</v>
      </c>
      <c r="E2215" t="s">
        <v>212</v>
      </c>
      <c r="F2215" t="s">
        <v>202</v>
      </c>
      <c r="G2215">
        <v>30</v>
      </c>
      <c r="H2215" s="7">
        <v>45787</v>
      </c>
      <c r="I2215" t="s">
        <v>211</v>
      </c>
    </row>
    <row r="2216" spans="1:9">
      <c r="A2216">
        <v>52215</v>
      </c>
      <c r="B2216">
        <v>3190</v>
      </c>
      <c r="C2216">
        <v>2009</v>
      </c>
      <c r="D2216" s="7">
        <v>45794</v>
      </c>
      <c r="E2216" t="s">
        <v>204</v>
      </c>
      <c r="F2216" t="s">
        <v>205</v>
      </c>
      <c r="H2216" s="7"/>
      <c r="I2216" t="s">
        <v>217</v>
      </c>
    </row>
    <row r="2217" spans="1:9">
      <c r="A2217">
        <v>52216</v>
      </c>
      <c r="B2217">
        <v>3190</v>
      </c>
      <c r="C2217">
        <v>2009</v>
      </c>
      <c r="D2217" s="7">
        <v>45799</v>
      </c>
      <c r="E2217" t="s">
        <v>204</v>
      </c>
      <c r="F2217" t="s">
        <v>202</v>
      </c>
      <c r="G2217">
        <v>30</v>
      </c>
      <c r="H2217" s="7">
        <v>45820</v>
      </c>
      <c r="I2217" t="s">
        <v>216</v>
      </c>
    </row>
    <row r="2218" spans="1:9">
      <c r="A2218">
        <v>52217</v>
      </c>
      <c r="B2218">
        <v>3190</v>
      </c>
      <c r="C2218">
        <v>2009</v>
      </c>
      <c r="D2218" s="7">
        <v>45863</v>
      </c>
      <c r="E2218" t="s">
        <v>212</v>
      </c>
      <c r="F2218" t="s">
        <v>202</v>
      </c>
      <c r="G2218">
        <v>45</v>
      </c>
      <c r="H2218" s="7">
        <v>45866</v>
      </c>
      <c r="I2218" t="s">
        <v>216</v>
      </c>
    </row>
    <row r="2219" spans="1:9">
      <c r="A2219">
        <v>52218</v>
      </c>
      <c r="B2219">
        <v>3190</v>
      </c>
      <c r="C2219">
        <v>2009</v>
      </c>
      <c r="D2219" s="7">
        <v>45910</v>
      </c>
      <c r="E2219" t="s">
        <v>212</v>
      </c>
      <c r="F2219" t="s">
        <v>202</v>
      </c>
      <c r="G2219">
        <v>20</v>
      </c>
      <c r="H2219" s="7">
        <v>45931</v>
      </c>
      <c r="I2219" t="s">
        <v>216</v>
      </c>
    </row>
    <row r="2220" spans="1:9">
      <c r="A2220">
        <v>52219</v>
      </c>
      <c r="B2220">
        <v>3190</v>
      </c>
      <c r="C2220">
        <v>2009</v>
      </c>
      <c r="D2220" s="7">
        <v>45937</v>
      </c>
      <c r="E2220" t="s">
        <v>208</v>
      </c>
      <c r="F2220" t="s">
        <v>202</v>
      </c>
      <c r="G2220">
        <v>60</v>
      </c>
      <c r="H2220" s="7">
        <v>45958</v>
      </c>
      <c r="I2220" t="s">
        <v>203</v>
      </c>
    </row>
    <row r="2221" spans="1:9">
      <c r="A2221">
        <v>52220</v>
      </c>
      <c r="B2221">
        <v>3190</v>
      </c>
      <c r="C2221">
        <v>2009</v>
      </c>
      <c r="D2221" s="7">
        <v>45982</v>
      </c>
      <c r="E2221" t="s">
        <v>204</v>
      </c>
      <c r="F2221" t="s">
        <v>202</v>
      </c>
      <c r="G2221">
        <v>15</v>
      </c>
      <c r="H2221" s="7">
        <v>45996</v>
      </c>
      <c r="I2221" t="s">
        <v>207</v>
      </c>
    </row>
    <row r="2222" spans="1:9">
      <c r="A2222">
        <v>52221</v>
      </c>
      <c r="B2222">
        <v>3190</v>
      </c>
      <c r="C2222">
        <v>2009</v>
      </c>
      <c r="D2222" s="7">
        <v>46134</v>
      </c>
      <c r="E2222" t="s">
        <v>212</v>
      </c>
      <c r="F2222" t="s">
        <v>202</v>
      </c>
      <c r="G2222">
        <v>45</v>
      </c>
      <c r="H2222" s="7">
        <v>46164</v>
      </c>
      <c r="I2222" t="s">
        <v>216</v>
      </c>
    </row>
    <row r="2223" spans="1:9">
      <c r="A2223">
        <v>52222</v>
      </c>
      <c r="B2223">
        <v>3190</v>
      </c>
      <c r="C2223">
        <v>2009</v>
      </c>
      <c r="D2223" s="7">
        <v>46184</v>
      </c>
      <c r="E2223" t="s">
        <v>210</v>
      </c>
      <c r="F2223" t="s">
        <v>213</v>
      </c>
      <c r="H2223" s="7">
        <v>46214</v>
      </c>
      <c r="I2223" t="s">
        <v>203</v>
      </c>
    </row>
    <row r="2224" spans="1:9">
      <c r="A2224">
        <v>52223</v>
      </c>
      <c r="B2224">
        <v>3190</v>
      </c>
      <c r="C2224">
        <v>2009</v>
      </c>
      <c r="D2224" s="7">
        <v>46207</v>
      </c>
      <c r="E2224" t="s">
        <v>219</v>
      </c>
      <c r="F2224" t="s">
        <v>213</v>
      </c>
      <c r="H2224" s="7"/>
      <c r="I2224" t="s">
        <v>211</v>
      </c>
    </row>
    <row r="2225" spans="1:9">
      <c r="A2225">
        <v>52224</v>
      </c>
      <c r="B2225">
        <v>3191</v>
      </c>
      <c r="C2225">
        <v>2011</v>
      </c>
      <c r="D2225" s="7">
        <v>45970</v>
      </c>
      <c r="E2225" t="s">
        <v>201</v>
      </c>
      <c r="F2225" t="s">
        <v>202</v>
      </c>
      <c r="G2225">
        <v>60</v>
      </c>
      <c r="H2225" s="7">
        <v>45973</v>
      </c>
      <c r="I2225" t="s">
        <v>216</v>
      </c>
    </row>
    <row r="2226" spans="1:9">
      <c r="A2226">
        <v>52225</v>
      </c>
      <c r="B2226">
        <v>3191</v>
      </c>
      <c r="C2226">
        <v>2011</v>
      </c>
      <c r="D2226" s="7">
        <v>45973</v>
      </c>
      <c r="E2226" t="s">
        <v>219</v>
      </c>
      <c r="F2226" t="s">
        <v>202</v>
      </c>
      <c r="G2226">
        <v>45</v>
      </c>
      <c r="H2226" s="7">
        <v>46003</v>
      </c>
      <c r="I2226" t="s">
        <v>207</v>
      </c>
    </row>
    <row r="2227" spans="1:9">
      <c r="A2227">
        <v>52226</v>
      </c>
      <c r="B2227">
        <v>3191</v>
      </c>
      <c r="C2227">
        <v>2011</v>
      </c>
      <c r="D2227" s="7">
        <v>46033</v>
      </c>
      <c r="E2227" t="s">
        <v>204</v>
      </c>
      <c r="F2227" t="s">
        <v>202</v>
      </c>
      <c r="G2227">
        <v>60</v>
      </c>
      <c r="H2227" s="7">
        <v>46054</v>
      </c>
      <c r="I2227" t="s">
        <v>207</v>
      </c>
    </row>
    <row r="2228" spans="1:9">
      <c r="A2228">
        <v>52227</v>
      </c>
      <c r="B2228">
        <v>3191</v>
      </c>
      <c r="C2228">
        <v>2011</v>
      </c>
      <c r="D2228" s="7">
        <v>46056</v>
      </c>
      <c r="E2228" t="s">
        <v>204</v>
      </c>
      <c r="F2228" t="s">
        <v>202</v>
      </c>
      <c r="G2228">
        <v>90</v>
      </c>
      <c r="H2228" s="7">
        <v>46063</v>
      </c>
      <c r="I2228" t="s">
        <v>216</v>
      </c>
    </row>
    <row r="2229" spans="1:9">
      <c r="A2229">
        <v>52228</v>
      </c>
      <c r="B2229">
        <v>3191</v>
      </c>
      <c r="C2229">
        <v>2011</v>
      </c>
      <c r="D2229" s="7">
        <v>46079</v>
      </c>
      <c r="E2229" t="s">
        <v>208</v>
      </c>
      <c r="F2229" t="s">
        <v>202</v>
      </c>
      <c r="G2229">
        <v>10</v>
      </c>
      <c r="H2229" s="7">
        <v>46086</v>
      </c>
      <c r="I2229" t="s">
        <v>211</v>
      </c>
    </row>
    <row r="2230" spans="1:9">
      <c r="A2230">
        <v>52229</v>
      </c>
      <c r="B2230">
        <v>3191</v>
      </c>
      <c r="C2230">
        <v>2011</v>
      </c>
      <c r="D2230" s="7">
        <v>46082</v>
      </c>
      <c r="E2230" t="s">
        <v>210</v>
      </c>
      <c r="F2230" t="s">
        <v>218</v>
      </c>
      <c r="H2230" s="7"/>
      <c r="I2230" t="s">
        <v>206</v>
      </c>
    </row>
    <row r="2231" spans="1:9">
      <c r="A2231">
        <v>52230</v>
      </c>
      <c r="B2231">
        <v>3191</v>
      </c>
      <c r="C2231">
        <v>2011</v>
      </c>
      <c r="D2231" s="7">
        <v>46084</v>
      </c>
      <c r="E2231" t="s">
        <v>210</v>
      </c>
      <c r="F2231" t="s">
        <v>214</v>
      </c>
      <c r="H2231" s="7">
        <v>46105</v>
      </c>
      <c r="I2231" t="s">
        <v>207</v>
      </c>
    </row>
    <row r="2232" spans="1:9">
      <c r="A2232">
        <v>52231</v>
      </c>
      <c r="B2232">
        <v>3191</v>
      </c>
      <c r="C2232">
        <v>2011</v>
      </c>
      <c r="D2232" s="7">
        <v>46090</v>
      </c>
      <c r="E2232" t="s">
        <v>208</v>
      </c>
      <c r="F2232" t="s">
        <v>202</v>
      </c>
      <c r="G2232">
        <v>15</v>
      </c>
      <c r="H2232" s="7">
        <v>46097</v>
      </c>
      <c r="I2232" t="s">
        <v>217</v>
      </c>
    </row>
    <row r="2233" spans="1:9">
      <c r="A2233">
        <v>52232</v>
      </c>
      <c r="B2233">
        <v>3191</v>
      </c>
      <c r="C2233">
        <v>2011</v>
      </c>
      <c r="D2233" s="7">
        <v>46100</v>
      </c>
      <c r="E2233" t="s">
        <v>204</v>
      </c>
      <c r="F2233" t="s">
        <v>202</v>
      </c>
      <c r="G2233">
        <v>60</v>
      </c>
      <c r="H2233" s="7">
        <v>46107</v>
      </c>
      <c r="I2233" t="s">
        <v>206</v>
      </c>
    </row>
    <row r="2234" spans="1:9">
      <c r="A2234">
        <v>52233</v>
      </c>
      <c r="B2234">
        <v>3191</v>
      </c>
      <c r="C2234">
        <v>2011</v>
      </c>
      <c r="D2234" s="7">
        <v>46119</v>
      </c>
      <c r="E2234" t="s">
        <v>204</v>
      </c>
      <c r="F2234" t="s">
        <v>202</v>
      </c>
      <c r="G2234">
        <v>20</v>
      </c>
      <c r="H2234" s="7">
        <v>46133</v>
      </c>
      <c r="I2234" t="s">
        <v>206</v>
      </c>
    </row>
    <row r="2235" spans="1:9">
      <c r="A2235">
        <v>52234</v>
      </c>
      <c r="B2235">
        <v>3191</v>
      </c>
      <c r="C2235">
        <v>2011</v>
      </c>
      <c r="D2235" s="7">
        <v>46129</v>
      </c>
      <c r="E2235" t="s">
        <v>204</v>
      </c>
      <c r="F2235" t="s">
        <v>202</v>
      </c>
      <c r="G2235">
        <v>20</v>
      </c>
      <c r="H2235" s="7">
        <v>46136</v>
      </c>
      <c r="I2235" t="s">
        <v>203</v>
      </c>
    </row>
    <row r="2236" spans="1:9">
      <c r="A2236">
        <v>52235</v>
      </c>
      <c r="B2236">
        <v>3191</v>
      </c>
      <c r="C2236">
        <v>2011</v>
      </c>
      <c r="D2236" s="7">
        <v>46143</v>
      </c>
      <c r="E2236" t="s">
        <v>212</v>
      </c>
      <c r="F2236" t="s">
        <v>202</v>
      </c>
      <c r="G2236">
        <v>30</v>
      </c>
      <c r="H2236" s="7">
        <v>46164</v>
      </c>
      <c r="I2236" t="s">
        <v>216</v>
      </c>
    </row>
    <row r="2237" spans="1:9">
      <c r="A2237">
        <v>52236</v>
      </c>
      <c r="B2237">
        <v>3191</v>
      </c>
      <c r="C2237">
        <v>2011</v>
      </c>
      <c r="D2237" s="7">
        <v>46164</v>
      </c>
      <c r="E2237" t="s">
        <v>212</v>
      </c>
      <c r="F2237" t="s">
        <v>214</v>
      </c>
      <c r="H2237" s="7">
        <v>46178</v>
      </c>
      <c r="I2237" t="s">
        <v>217</v>
      </c>
    </row>
    <row r="2238" spans="1:9">
      <c r="A2238">
        <v>52237</v>
      </c>
      <c r="B2238">
        <v>3191</v>
      </c>
      <c r="C2238">
        <v>2011</v>
      </c>
      <c r="D2238" s="7">
        <v>46176</v>
      </c>
      <c r="E2238" t="s">
        <v>219</v>
      </c>
      <c r="F2238" t="s">
        <v>202</v>
      </c>
      <c r="G2238">
        <v>60</v>
      </c>
      <c r="H2238" s="7">
        <v>46183</v>
      </c>
      <c r="I2238" t="s">
        <v>211</v>
      </c>
    </row>
    <row r="2239" spans="1:9">
      <c r="A2239">
        <v>52238</v>
      </c>
      <c r="B2239">
        <v>3191</v>
      </c>
      <c r="C2239">
        <v>2011</v>
      </c>
      <c r="D2239" s="7">
        <v>46187</v>
      </c>
      <c r="E2239" t="s">
        <v>204</v>
      </c>
      <c r="F2239" t="s">
        <v>214</v>
      </c>
      <c r="H2239" s="7"/>
      <c r="I2239" t="s">
        <v>211</v>
      </c>
    </row>
    <row r="2240" spans="1:9">
      <c r="A2240">
        <v>52239</v>
      </c>
      <c r="B2240">
        <v>3191</v>
      </c>
      <c r="C2240">
        <v>2011</v>
      </c>
      <c r="D2240" s="7">
        <v>46203</v>
      </c>
      <c r="E2240" t="s">
        <v>212</v>
      </c>
      <c r="F2240" t="s">
        <v>205</v>
      </c>
      <c r="H2240" s="7"/>
      <c r="I2240" t="s">
        <v>217</v>
      </c>
    </row>
    <row r="2241" spans="1:9">
      <c r="A2241">
        <v>52240</v>
      </c>
      <c r="B2241">
        <v>3192</v>
      </c>
      <c r="C2241">
        <v>2017</v>
      </c>
      <c r="D2241" s="7">
        <v>45800</v>
      </c>
      <c r="E2241" t="s">
        <v>219</v>
      </c>
      <c r="F2241" t="s">
        <v>202</v>
      </c>
      <c r="G2241">
        <v>45</v>
      </c>
      <c r="H2241" s="7">
        <v>45821</v>
      </c>
      <c r="I2241" t="s">
        <v>206</v>
      </c>
    </row>
    <row r="2242" spans="1:9">
      <c r="A2242">
        <v>52241</v>
      </c>
      <c r="B2242">
        <v>3192</v>
      </c>
      <c r="C2242">
        <v>2017</v>
      </c>
      <c r="D2242" s="7">
        <v>45800</v>
      </c>
      <c r="E2242" t="s">
        <v>212</v>
      </c>
      <c r="F2242" t="s">
        <v>202</v>
      </c>
      <c r="G2242">
        <v>45</v>
      </c>
      <c r="H2242" s="7">
        <v>45803</v>
      </c>
      <c r="I2242" t="s">
        <v>217</v>
      </c>
    </row>
    <row r="2243" spans="1:9">
      <c r="A2243">
        <v>52242</v>
      </c>
      <c r="B2243">
        <v>3192</v>
      </c>
      <c r="C2243">
        <v>2017</v>
      </c>
      <c r="D2243" s="7">
        <v>45808</v>
      </c>
      <c r="E2243" t="s">
        <v>201</v>
      </c>
      <c r="F2243" t="s">
        <v>213</v>
      </c>
      <c r="H2243" s="7">
        <v>45822</v>
      </c>
      <c r="I2243" t="s">
        <v>211</v>
      </c>
    </row>
    <row r="2244" spans="1:9">
      <c r="A2244">
        <v>52243</v>
      </c>
      <c r="B2244">
        <v>3192</v>
      </c>
      <c r="C2244">
        <v>2017</v>
      </c>
      <c r="D2244" s="7">
        <v>45809</v>
      </c>
      <c r="E2244" t="s">
        <v>201</v>
      </c>
      <c r="F2244" t="s">
        <v>202</v>
      </c>
      <c r="G2244">
        <v>60</v>
      </c>
      <c r="H2244" s="7">
        <v>45812</v>
      </c>
      <c r="I2244" t="s">
        <v>211</v>
      </c>
    </row>
    <row r="2245" spans="1:9">
      <c r="A2245">
        <v>52244</v>
      </c>
      <c r="B2245">
        <v>3192</v>
      </c>
      <c r="C2245">
        <v>2017</v>
      </c>
      <c r="D2245" s="7">
        <v>45811</v>
      </c>
      <c r="E2245" t="s">
        <v>204</v>
      </c>
      <c r="F2245" t="s">
        <v>214</v>
      </c>
      <c r="H2245" s="7">
        <v>45814</v>
      </c>
      <c r="I2245" t="s">
        <v>206</v>
      </c>
    </row>
    <row r="2246" spans="1:9">
      <c r="A2246">
        <v>52245</v>
      </c>
      <c r="B2246">
        <v>3192</v>
      </c>
      <c r="C2246">
        <v>2017</v>
      </c>
      <c r="D2246" s="7">
        <v>45812</v>
      </c>
      <c r="E2246" t="s">
        <v>210</v>
      </c>
      <c r="F2246" t="s">
        <v>218</v>
      </c>
      <c r="H2246" s="7"/>
      <c r="I2246" t="s">
        <v>206</v>
      </c>
    </row>
    <row r="2247" spans="1:9">
      <c r="A2247">
        <v>52246</v>
      </c>
      <c r="B2247">
        <v>3192</v>
      </c>
      <c r="C2247">
        <v>2017</v>
      </c>
      <c r="D2247" s="7">
        <v>45814</v>
      </c>
      <c r="E2247" t="s">
        <v>212</v>
      </c>
      <c r="F2247" t="s">
        <v>202</v>
      </c>
      <c r="G2247">
        <v>90</v>
      </c>
      <c r="H2247" s="7">
        <v>45821</v>
      </c>
      <c r="I2247" t="s">
        <v>216</v>
      </c>
    </row>
    <row r="2248" spans="1:9">
      <c r="A2248">
        <v>52247</v>
      </c>
      <c r="B2248">
        <v>3192</v>
      </c>
      <c r="C2248">
        <v>2017</v>
      </c>
      <c r="D2248" s="7">
        <v>45814</v>
      </c>
      <c r="E2248" t="s">
        <v>210</v>
      </c>
      <c r="F2248" t="s">
        <v>213</v>
      </c>
      <c r="H2248" s="7">
        <v>45844</v>
      </c>
      <c r="I2248" t="s">
        <v>203</v>
      </c>
    </row>
    <row r="2249" spans="1:9">
      <c r="A2249">
        <v>52248</v>
      </c>
      <c r="B2249">
        <v>3192</v>
      </c>
      <c r="C2249">
        <v>2017</v>
      </c>
      <c r="D2249" s="7">
        <v>45817</v>
      </c>
      <c r="E2249" t="s">
        <v>204</v>
      </c>
      <c r="F2249" t="s">
        <v>214</v>
      </c>
      <c r="H2249" s="7">
        <v>45838</v>
      </c>
      <c r="I2249" t="s">
        <v>217</v>
      </c>
    </row>
    <row r="2250" spans="1:9">
      <c r="A2250">
        <v>52249</v>
      </c>
      <c r="B2250">
        <v>3192</v>
      </c>
      <c r="C2250">
        <v>2017</v>
      </c>
      <c r="D2250" s="7">
        <v>45833</v>
      </c>
      <c r="E2250" t="s">
        <v>219</v>
      </c>
      <c r="F2250" t="s">
        <v>202</v>
      </c>
      <c r="G2250">
        <v>45</v>
      </c>
      <c r="H2250" s="7">
        <v>45863</v>
      </c>
      <c r="I2250" t="s">
        <v>216</v>
      </c>
    </row>
    <row r="2251" spans="1:9">
      <c r="A2251">
        <v>52250</v>
      </c>
      <c r="B2251">
        <v>3192</v>
      </c>
      <c r="C2251">
        <v>2017</v>
      </c>
      <c r="D2251" s="7">
        <v>45834</v>
      </c>
      <c r="E2251" t="s">
        <v>204</v>
      </c>
      <c r="F2251" t="s">
        <v>214</v>
      </c>
      <c r="H2251" s="7">
        <v>45848</v>
      </c>
      <c r="I2251" t="s">
        <v>203</v>
      </c>
    </row>
    <row r="2252" spans="1:9">
      <c r="A2252">
        <v>52251</v>
      </c>
      <c r="B2252">
        <v>3192</v>
      </c>
      <c r="C2252">
        <v>2017</v>
      </c>
      <c r="D2252" s="7">
        <v>45839</v>
      </c>
      <c r="E2252" t="s">
        <v>219</v>
      </c>
      <c r="F2252" t="s">
        <v>213</v>
      </c>
      <c r="H2252" s="7">
        <v>45869</v>
      </c>
      <c r="I2252" t="s">
        <v>206</v>
      </c>
    </row>
    <row r="2253" spans="1:9">
      <c r="A2253">
        <v>52252</v>
      </c>
      <c r="B2253">
        <v>3192</v>
      </c>
      <c r="C2253">
        <v>2017</v>
      </c>
      <c r="D2253" s="7">
        <v>45841</v>
      </c>
      <c r="E2253" t="s">
        <v>204</v>
      </c>
      <c r="F2253" t="s">
        <v>202</v>
      </c>
      <c r="G2253">
        <v>10</v>
      </c>
      <c r="H2253" s="7">
        <v>45862</v>
      </c>
      <c r="I2253" t="s">
        <v>207</v>
      </c>
    </row>
    <row r="2254" spans="1:9">
      <c r="A2254">
        <v>52253</v>
      </c>
      <c r="B2254">
        <v>3192</v>
      </c>
      <c r="C2254">
        <v>2017</v>
      </c>
      <c r="D2254" s="7">
        <v>45842</v>
      </c>
      <c r="E2254" t="s">
        <v>212</v>
      </c>
      <c r="F2254" t="s">
        <v>202</v>
      </c>
      <c r="G2254">
        <v>90</v>
      </c>
      <c r="H2254" s="7">
        <v>45872</v>
      </c>
      <c r="I2254" t="s">
        <v>216</v>
      </c>
    </row>
    <row r="2255" spans="1:9">
      <c r="A2255">
        <v>52254</v>
      </c>
      <c r="B2255">
        <v>3192</v>
      </c>
      <c r="C2255">
        <v>2017</v>
      </c>
      <c r="D2255" s="7">
        <v>45843</v>
      </c>
      <c r="E2255" t="s">
        <v>201</v>
      </c>
      <c r="F2255" t="s">
        <v>202</v>
      </c>
      <c r="G2255">
        <v>10</v>
      </c>
      <c r="H2255" s="7">
        <v>45857</v>
      </c>
      <c r="I2255" t="s">
        <v>216</v>
      </c>
    </row>
    <row r="2256" spans="1:9">
      <c r="A2256">
        <v>52255</v>
      </c>
      <c r="B2256">
        <v>3192</v>
      </c>
      <c r="C2256">
        <v>2017</v>
      </c>
      <c r="D2256" s="7">
        <v>45844</v>
      </c>
      <c r="E2256" t="s">
        <v>212</v>
      </c>
      <c r="F2256" t="s">
        <v>218</v>
      </c>
      <c r="H2256" s="7"/>
      <c r="I2256" t="s">
        <v>206</v>
      </c>
    </row>
    <row r="2257" spans="1:9">
      <c r="A2257">
        <v>52256</v>
      </c>
      <c r="B2257">
        <v>3192</v>
      </c>
      <c r="C2257">
        <v>2017</v>
      </c>
      <c r="D2257" s="7">
        <v>45847</v>
      </c>
      <c r="E2257" t="s">
        <v>219</v>
      </c>
      <c r="F2257" t="s">
        <v>202</v>
      </c>
      <c r="G2257">
        <v>60</v>
      </c>
      <c r="H2257" s="7">
        <v>45868</v>
      </c>
      <c r="I2257" t="s">
        <v>216</v>
      </c>
    </row>
    <row r="2258" spans="1:9">
      <c r="A2258">
        <v>52257</v>
      </c>
      <c r="B2258">
        <v>3192</v>
      </c>
      <c r="C2258">
        <v>2017</v>
      </c>
      <c r="D2258" s="7">
        <v>45847</v>
      </c>
      <c r="E2258" t="s">
        <v>212</v>
      </c>
      <c r="F2258" t="s">
        <v>202</v>
      </c>
      <c r="G2258">
        <v>20</v>
      </c>
      <c r="H2258" s="7">
        <v>45861</v>
      </c>
      <c r="I2258" t="s">
        <v>209</v>
      </c>
    </row>
    <row r="2259" spans="1:9">
      <c r="A2259">
        <v>52258</v>
      </c>
      <c r="B2259">
        <v>3192</v>
      </c>
      <c r="C2259">
        <v>2017</v>
      </c>
      <c r="D2259" s="7">
        <v>45849</v>
      </c>
      <c r="E2259" t="s">
        <v>212</v>
      </c>
      <c r="F2259" t="s">
        <v>202</v>
      </c>
      <c r="G2259">
        <v>60</v>
      </c>
      <c r="H2259" s="7">
        <v>45863</v>
      </c>
      <c r="I2259" t="s">
        <v>217</v>
      </c>
    </row>
    <row r="2260" spans="1:9">
      <c r="A2260">
        <v>52259</v>
      </c>
      <c r="B2260">
        <v>3193</v>
      </c>
      <c r="C2260">
        <v>2008</v>
      </c>
      <c r="D2260" s="7">
        <v>45764</v>
      </c>
      <c r="E2260" t="s">
        <v>208</v>
      </c>
      <c r="F2260" t="s">
        <v>214</v>
      </c>
      <c r="H2260" s="7">
        <v>45767</v>
      </c>
      <c r="I2260" t="s">
        <v>203</v>
      </c>
    </row>
    <row r="2261" spans="1:9">
      <c r="A2261">
        <v>52260</v>
      </c>
      <c r="B2261">
        <v>3193</v>
      </c>
      <c r="C2261">
        <v>2008</v>
      </c>
      <c r="D2261" s="7">
        <v>45783</v>
      </c>
      <c r="E2261" t="s">
        <v>210</v>
      </c>
      <c r="F2261" t="s">
        <v>214</v>
      </c>
      <c r="H2261" s="7">
        <v>45797</v>
      </c>
      <c r="I2261" t="s">
        <v>216</v>
      </c>
    </row>
    <row r="2262" spans="1:9">
      <c r="A2262">
        <v>52261</v>
      </c>
      <c r="B2262">
        <v>3193</v>
      </c>
      <c r="C2262">
        <v>2008</v>
      </c>
      <c r="D2262" s="7">
        <v>45839</v>
      </c>
      <c r="E2262" t="s">
        <v>212</v>
      </c>
      <c r="F2262" t="s">
        <v>202</v>
      </c>
      <c r="G2262">
        <v>60</v>
      </c>
      <c r="H2262" s="7">
        <v>45869</v>
      </c>
      <c r="I2262" t="s">
        <v>211</v>
      </c>
    </row>
    <row r="2263" spans="1:9">
      <c r="A2263">
        <v>52262</v>
      </c>
      <c r="B2263">
        <v>3193</v>
      </c>
      <c r="C2263">
        <v>2008</v>
      </c>
      <c r="D2263" s="7">
        <v>45910</v>
      </c>
      <c r="E2263" t="s">
        <v>204</v>
      </c>
      <c r="F2263" t="s">
        <v>215</v>
      </c>
      <c r="G2263">
        <v>60</v>
      </c>
      <c r="H2263" s="7">
        <v>45940</v>
      </c>
      <c r="I2263" t="s">
        <v>203</v>
      </c>
    </row>
    <row r="2264" spans="1:9">
      <c r="A2264">
        <v>52263</v>
      </c>
      <c r="B2264">
        <v>3193</v>
      </c>
      <c r="C2264">
        <v>2008</v>
      </c>
      <c r="D2264" s="7">
        <v>45952</v>
      </c>
      <c r="E2264" t="s">
        <v>204</v>
      </c>
      <c r="F2264" t="s">
        <v>214</v>
      </c>
      <c r="H2264" s="7">
        <v>45955</v>
      </c>
      <c r="I2264" t="s">
        <v>203</v>
      </c>
    </row>
    <row r="2265" spans="1:9">
      <c r="A2265">
        <v>52264</v>
      </c>
      <c r="B2265">
        <v>3193</v>
      </c>
      <c r="C2265">
        <v>2008</v>
      </c>
      <c r="D2265" s="7">
        <v>46105</v>
      </c>
      <c r="E2265" t="s">
        <v>204</v>
      </c>
      <c r="F2265" t="s">
        <v>205</v>
      </c>
      <c r="H2265" s="7"/>
      <c r="I2265" t="s">
        <v>216</v>
      </c>
    </row>
    <row r="2266" spans="1:9">
      <c r="A2266">
        <v>52265</v>
      </c>
      <c r="B2266">
        <v>3193</v>
      </c>
      <c r="C2266">
        <v>2008</v>
      </c>
      <c r="D2266" s="7">
        <v>46151</v>
      </c>
      <c r="E2266" t="s">
        <v>201</v>
      </c>
      <c r="F2266" t="s">
        <v>213</v>
      </c>
      <c r="H2266" s="7">
        <v>46165</v>
      </c>
      <c r="I2266" t="s">
        <v>207</v>
      </c>
    </row>
    <row r="2267" spans="1:9">
      <c r="A2267">
        <v>52266</v>
      </c>
      <c r="B2267">
        <v>3194</v>
      </c>
      <c r="C2267">
        <v>2015</v>
      </c>
      <c r="D2267" s="7">
        <v>45420</v>
      </c>
      <c r="E2267" t="s">
        <v>201</v>
      </c>
      <c r="F2267" t="s">
        <v>202</v>
      </c>
      <c r="G2267">
        <v>20</v>
      </c>
      <c r="H2267" s="7">
        <v>45427</v>
      </c>
      <c r="I2267" t="s">
        <v>203</v>
      </c>
    </row>
    <row r="2268" spans="1:9">
      <c r="A2268">
        <v>52267</v>
      </c>
      <c r="B2268">
        <v>3194</v>
      </c>
      <c r="C2268">
        <v>2015</v>
      </c>
      <c r="D2268" s="7">
        <v>45534</v>
      </c>
      <c r="E2268" t="s">
        <v>210</v>
      </c>
      <c r="F2268" t="s">
        <v>202</v>
      </c>
      <c r="G2268">
        <v>45</v>
      </c>
      <c r="H2268" s="7">
        <v>45541</v>
      </c>
      <c r="I2268" t="s">
        <v>203</v>
      </c>
    </row>
    <row r="2269" spans="1:9">
      <c r="A2269">
        <v>52268</v>
      </c>
      <c r="B2269">
        <v>3194</v>
      </c>
      <c r="C2269">
        <v>2015</v>
      </c>
      <c r="D2269" s="7">
        <v>45697</v>
      </c>
      <c r="E2269" t="s">
        <v>208</v>
      </c>
      <c r="F2269" t="s">
        <v>202</v>
      </c>
      <c r="G2269">
        <v>10</v>
      </c>
      <c r="H2269" s="7">
        <v>45700</v>
      </c>
      <c r="I2269" t="s">
        <v>211</v>
      </c>
    </row>
    <row r="2270" spans="1:9">
      <c r="A2270">
        <v>52269</v>
      </c>
      <c r="B2270">
        <v>3194</v>
      </c>
      <c r="C2270">
        <v>2015</v>
      </c>
      <c r="D2270" s="7">
        <v>45741</v>
      </c>
      <c r="E2270" t="s">
        <v>212</v>
      </c>
      <c r="F2270" t="s">
        <v>218</v>
      </c>
      <c r="H2270" s="7"/>
      <c r="I2270" t="s">
        <v>211</v>
      </c>
    </row>
    <row r="2271" spans="1:9">
      <c r="A2271">
        <v>52270</v>
      </c>
      <c r="B2271">
        <v>3194</v>
      </c>
      <c r="C2271">
        <v>2015</v>
      </c>
      <c r="D2271" s="7">
        <v>45746</v>
      </c>
      <c r="E2271" t="s">
        <v>201</v>
      </c>
      <c r="F2271" t="s">
        <v>214</v>
      </c>
      <c r="H2271" s="7">
        <v>45776</v>
      </c>
      <c r="I2271" t="s">
        <v>211</v>
      </c>
    </row>
    <row r="2272" spans="1:9">
      <c r="A2272">
        <v>52271</v>
      </c>
      <c r="B2272">
        <v>3194</v>
      </c>
      <c r="C2272">
        <v>2015</v>
      </c>
      <c r="D2272" s="7">
        <v>45752</v>
      </c>
      <c r="E2272" t="s">
        <v>212</v>
      </c>
      <c r="F2272" t="s">
        <v>214</v>
      </c>
      <c r="H2272" s="7">
        <v>45759</v>
      </c>
      <c r="I2272" t="s">
        <v>203</v>
      </c>
    </row>
    <row r="2273" spans="1:9">
      <c r="A2273">
        <v>52272</v>
      </c>
      <c r="B2273">
        <v>3194</v>
      </c>
      <c r="C2273">
        <v>2015</v>
      </c>
      <c r="D2273" s="7">
        <v>45760</v>
      </c>
      <c r="E2273" t="s">
        <v>219</v>
      </c>
      <c r="F2273" t="s">
        <v>218</v>
      </c>
      <c r="H2273" s="7"/>
      <c r="I2273" t="s">
        <v>211</v>
      </c>
    </row>
    <row r="2274" spans="1:9">
      <c r="A2274">
        <v>52273</v>
      </c>
      <c r="B2274">
        <v>3194</v>
      </c>
      <c r="C2274">
        <v>2015</v>
      </c>
      <c r="D2274" s="7">
        <v>45775</v>
      </c>
      <c r="E2274" t="s">
        <v>212</v>
      </c>
      <c r="F2274" t="s">
        <v>202</v>
      </c>
      <c r="G2274">
        <v>45</v>
      </c>
      <c r="H2274" s="7">
        <v>45796</v>
      </c>
      <c r="I2274" t="s">
        <v>209</v>
      </c>
    </row>
    <row r="2275" spans="1:9">
      <c r="A2275">
        <v>52274</v>
      </c>
      <c r="B2275">
        <v>3194</v>
      </c>
      <c r="C2275">
        <v>2015</v>
      </c>
      <c r="D2275" s="7">
        <v>45998</v>
      </c>
      <c r="E2275" t="s">
        <v>201</v>
      </c>
      <c r="F2275" t="s">
        <v>202</v>
      </c>
      <c r="G2275">
        <v>60</v>
      </c>
      <c r="H2275" s="7">
        <v>46028</v>
      </c>
      <c r="I2275" t="s">
        <v>206</v>
      </c>
    </row>
    <row r="2276" spans="1:9">
      <c r="A2276">
        <v>52275</v>
      </c>
      <c r="B2276">
        <v>3194</v>
      </c>
      <c r="C2276">
        <v>2015</v>
      </c>
      <c r="D2276" s="7">
        <v>46041</v>
      </c>
      <c r="E2276" t="s">
        <v>201</v>
      </c>
      <c r="F2276" t="s">
        <v>202</v>
      </c>
      <c r="G2276">
        <v>20</v>
      </c>
      <c r="H2276" s="7">
        <v>46055</v>
      </c>
      <c r="I2276" t="s">
        <v>217</v>
      </c>
    </row>
    <row r="2277" spans="1:9">
      <c r="A2277">
        <v>52276</v>
      </c>
      <c r="B2277">
        <v>3194</v>
      </c>
      <c r="C2277">
        <v>2015</v>
      </c>
      <c r="D2277" s="7">
        <v>46095</v>
      </c>
      <c r="E2277" t="s">
        <v>212</v>
      </c>
      <c r="F2277" t="s">
        <v>213</v>
      </c>
      <c r="H2277" s="7">
        <v>46098</v>
      </c>
      <c r="I2277" t="s">
        <v>206</v>
      </c>
    </row>
    <row r="2278" spans="1:9">
      <c r="A2278">
        <v>52277</v>
      </c>
      <c r="B2278">
        <v>3194</v>
      </c>
      <c r="C2278">
        <v>2015</v>
      </c>
      <c r="D2278" s="7">
        <v>46121</v>
      </c>
      <c r="E2278" t="s">
        <v>219</v>
      </c>
      <c r="F2278" t="s">
        <v>202</v>
      </c>
      <c r="G2278">
        <v>10</v>
      </c>
      <c r="H2278" s="7">
        <v>46142</v>
      </c>
      <c r="I2278" t="s">
        <v>211</v>
      </c>
    </row>
    <row r="2279" spans="1:9">
      <c r="A2279">
        <v>52278</v>
      </c>
      <c r="B2279">
        <v>3194</v>
      </c>
      <c r="C2279">
        <v>2015</v>
      </c>
      <c r="D2279" s="7">
        <v>46148</v>
      </c>
      <c r="E2279" t="s">
        <v>219</v>
      </c>
      <c r="F2279" t="s">
        <v>202</v>
      </c>
      <c r="G2279">
        <v>45</v>
      </c>
      <c r="H2279" s="7">
        <v>46151</v>
      </c>
      <c r="I2279" t="s">
        <v>217</v>
      </c>
    </row>
    <row r="2280" spans="1:9">
      <c r="A2280">
        <v>52279</v>
      </c>
      <c r="B2280">
        <v>3194</v>
      </c>
      <c r="C2280">
        <v>2015</v>
      </c>
      <c r="D2280" s="7">
        <v>46210</v>
      </c>
      <c r="E2280" t="s">
        <v>201</v>
      </c>
      <c r="F2280" t="s">
        <v>214</v>
      </c>
      <c r="H2280" s="7"/>
      <c r="I2280" t="s">
        <v>211</v>
      </c>
    </row>
    <row r="2281" spans="1:9">
      <c r="A2281">
        <v>52280</v>
      </c>
      <c r="B2281">
        <v>3195</v>
      </c>
      <c r="C2281">
        <v>2003</v>
      </c>
      <c r="D2281" s="7">
        <v>45398</v>
      </c>
      <c r="E2281" t="s">
        <v>208</v>
      </c>
      <c r="F2281" t="s">
        <v>213</v>
      </c>
      <c r="H2281" s="7">
        <v>45401</v>
      </c>
      <c r="I2281" t="s">
        <v>211</v>
      </c>
    </row>
    <row r="2282" spans="1:9">
      <c r="A2282">
        <v>52281</v>
      </c>
      <c r="B2282">
        <v>3195</v>
      </c>
      <c r="C2282">
        <v>2003</v>
      </c>
      <c r="D2282" s="7">
        <v>45418</v>
      </c>
      <c r="E2282" t="s">
        <v>212</v>
      </c>
      <c r="F2282" t="s">
        <v>213</v>
      </c>
      <c r="H2282" s="7">
        <v>45432</v>
      </c>
      <c r="I2282" t="s">
        <v>206</v>
      </c>
    </row>
    <row r="2283" spans="1:9">
      <c r="A2283">
        <v>52282</v>
      </c>
      <c r="B2283">
        <v>3195</v>
      </c>
      <c r="C2283">
        <v>2003</v>
      </c>
      <c r="D2283" s="7">
        <v>45477</v>
      </c>
      <c r="E2283" t="s">
        <v>204</v>
      </c>
      <c r="F2283" t="s">
        <v>202</v>
      </c>
      <c r="G2283">
        <v>60</v>
      </c>
      <c r="H2283" s="7">
        <v>45480</v>
      </c>
      <c r="I2283" t="s">
        <v>203</v>
      </c>
    </row>
    <row r="2284" spans="1:9">
      <c r="A2284">
        <v>52283</v>
      </c>
      <c r="B2284">
        <v>3195</v>
      </c>
      <c r="C2284">
        <v>2003</v>
      </c>
      <c r="D2284" s="7">
        <v>45497</v>
      </c>
      <c r="E2284" t="s">
        <v>204</v>
      </c>
      <c r="F2284" t="s">
        <v>202</v>
      </c>
      <c r="G2284">
        <v>60</v>
      </c>
      <c r="H2284" s="7">
        <v>45527</v>
      </c>
      <c r="I2284" t="s">
        <v>207</v>
      </c>
    </row>
    <row r="2285" spans="1:9">
      <c r="A2285">
        <v>52284</v>
      </c>
      <c r="B2285">
        <v>3195</v>
      </c>
      <c r="C2285">
        <v>2003</v>
      </c>
      <c r="D2285" s="7">
        <v>45536</v>
      </c>
      <c r="E2285" t="s">
        <v>212</v>
      </c>
      <c r="F2285" t="s">
        <v>202</v>
      </c>
      <c r="G2285">
        <v>30</v>
      </c>
      <c r="H2285" s="7">
        <v>45557</v>
      </c>
      <c r="I2285" t="s">
        <v>209</v>
      </c>
    </row>
    <row r="2286" spans="1:9">
      <c r="A2286">
        <v>52285</v>
      </c>
      <c r="B2286">
        <v>3195</v>
      </c>
      <c r="C2286">
        <v>2003</v>
      </c>
      <c r="D2286" s="7">
        <v>45537</v>
      </c>
      <c r="E2286" t="s">
        <v>204</v>
      </c>
      <c r="F2286" t="s">
        <v>202</v>
      </c>
      <c r="G2286">
        <v>30</v>
      </c>
      <c r="H2286" s="7">
        <v>45544</v>
      </c>
      <c r="I2286" t="s">
        <v>209</v>
      </c>
    </row>
    <row r="2287" spans="1:9">
      <c r="A2287">
        <v>52286</v>
      </c>
      <c r="B2287">
        <v>3195</v>
      </c>
      <c r="C2287">
        <v>2003</v>
      </c>
      <c r="D2287" s="7">
        <v>45576</v>
      </c>
      <c r="E2287" t="s">
        <v>219</v>
      </c>
      <c r="F2287" t="s">
        <v>214</v>
      </c>
      <c r="H2287" s="7">
        <v>45597</v>
      </c>
      <c r="I2287" t="s">
        <v>217</v>
      </c>
    </row>
    <row r="2288" spans="1:9">
      <c r="A2288">
        <v>52287</v>
      </c>
      <c r="B2288">
        <v>3195</v>
      </c>
      <c r="C2288">
        <v>2003</v>
      </c>
      <c r="D2288" s="7">
        <v>45598</v>
      </c>
      <c r="E2288" t="s">
        <v>204</v>
      </c>
      <c r="F2288" t="s">
        <v>202</v>
      </c>
      <c r="G2288">
        <v>60</v>
      </c>
      <c r="H2288" s="7">
        <v>45612</v>
      </c>
      <c r="I2288" t="s">
        <v>206</v>
      </c>
    </row>
    <row r="2289" spans="1:9">
      <c r="A2289">
        <v>52288</v>
      </c>
      <c r="B2289">
        <v>3195</v>
      </c>
      <c r="C2289">
        <v>2003</v>
      </c>
      <c r="D2289" s="7">
        <v>45609</v>
      </c>
      <c r="E2289" t="s">
        <v>212</v>
      </c>
      <c r="F2289" t="s">
        <v>214</v>
      </c>
      <c r="H2289" s="7">
        <v>45623</v>
      </c>
      <c r="I2289" t="s">
        <v>207</v>
      </c>
    </row>
    <row r="2290" spans="1:9">
      <c r="A2290">
        <v>52289</v>
      </c>
      <c r="B2290">
        <v>3195</v>
      </c>
      <c r="C2290">
        <v>2003</v>
      </c>
      <c r="D2290" s="7">
        <v>45685</v>
      </c>
      <c r="E2290" t="s">
        <v>212</v>
      </c>
      <c r="F2290" t="s">
        <v>213</v>
      </c>
      <c r="H2290" s="7">
        <v>45692</v>
      </c>
      <c r="I2290" t="s">
        <v>211</v>
      </c>
    </row>
    <row r="2291" spans="1:9">
      <c r="A2291">
        <v>52290</v>
      </c>
      <c r="B2291">
        <v>3195</v>
      </c>
      <c r="C2291">
        <v>2003</v>
      </c>
      <c r="D2291" s="7">
        <v>45766</v>
      </c>
      <c r="E2291" t="s">
        <v>219</v>
      </c>
      <c r="F2291" t="s">
        <v>214</v>
      </c>
      <c r="H2291" s="7">
        <v>45769</v>
      </c>
      <c r="I2291" t="s">
        <v>211</v>
      </c>
    </row>
    <row r="2292" spans="1:9">
      <c r="A2292">
        <v>52291</v>
      </c>
      <c r="B2292">
        <v>3195</v>
      </c>
      <c r="C2292">
        <v>2003</v>
      </c>
      <c r="D2292" s="7">
        <v>45781</v>
      </c>
      <c r="E2292" t="s">
        <v>212</v>
      </c>
      <c r="F2292" t="s">
        <v>214</v>
      </c>
      <c r="H2292" s="7">
        <v>45811</v>
      </c>
      <c r="I2292" t="s">
        <v>211</v>
      </c>
    </row>
    <row r="2293" spans="1:9">
      <c r="A2293">
        <v>52292</v>
      </c>
      <c r="B2293">
        <v>3195</v>
      </c>
      <c r="C2293">
        <v>2003</v>
      </c>
      <c r="D2293" s="7">
        <v>45830</v>
      </c>
      <c r="E2293" t="s">
        <v>210</v>
      </c>
      <c r="F2293" t="s">
        <v>213</v>
      </c>
      <c r="H2293" s="7">
        <v>45837</v>
      </c>
      <c r="I2293" t="s">
        <v>217</v>
      </c>
    </row>
    <row r="2294" spans="1:9">
      <c r="A2294">
        <v>52293</v>
      </c>
      <c r="B2294">
        <v>3195</v>
      </c>
      <c r="C2294">
        <v>2003</v>
      </c>
      <c r="D2294" s="7">
        <v>45899</v>
      </c>
      <c r="E2294" t="s">
        <v>201</v>
      </c>
      <c r="F2294" t="s">
        <v>214</v>
      </c>
      <c r="H2294" s="7">
        <v>45929</v>
      </c>
      <c r="I2294" t="s">
        <v>216</v>
      </c>
    </row>
    <row r="2295" spans="1:9">
      <c r="A2295">
        <v>52294</v>
      </c>
      <c r="B2295">
        <v>3195</v>
      </c>
      <c r="C2295">
        <v>2003</v>
      </c>
      <c r="D2295" s="7">
        <v>45913</v>
      </c>
      <c r="E2295" t="s">
        <v>204</v>
      </c>
      <c r="F2295" t="s">
        <v>205</v>
      </c>
      <c r="H2295" s="7"/>
      <c r="I2295" t="s">
        <v>203</v>
      </c>
    </row>
    <row r="2296" spans="1:9">
      <c r="A2296">
        <v>52295</v>
      </c>
      <c r="B2296">
        <v>3195</v>
      </c>
      <c r="C2296">
        <v>2003</v>
      </c>
      <c r="D2296" s="7">
        <v>46037</v>
      </c>
      <c r="E2296" t="s">
        <v>212</v>
      </c>
      <c r="F2296" t="s">
        <v>214</v>
      </c>
      <c r="H2296" s="7">
        <v>46044</v>
      </c>
      <c r="I2296" t="s">
        <v>216</v>
      </c>
    </row>
    <row r="2297" spans="1:9">
      <c r="A2297">
        <v>52296</v>
      </c>
      <c r="B2297">
        <v>3195</v>
      </c>
      <c r="C2297">
        <v>2003</v>
      </c>
      <c r="D2297" s="7">
        <v>46083</v>
      </c>
      <c r="E2297" t="s">
        <v>204</v>
      </c>
      <c r="F2297" t="s">
        <v>215</v>
      </c>
      <c r="G2297">
        <v>60</v>
      </c>
      <c r="H2297" s="7">
        <v>46090</v>
      </c>
      <c r="I2297" t="s">
        <v>203</v>
      </c>
    </row>
    <row r="2298" spans="1:9">
      <c r="A2298">
        <v>52297</v>
      </c>
      <c r="B2298">
        <v>3195</v>
      </c>
      <c r="C2298">
        <v>2003</v>
      </c>
      <c r="D2298" s="7">
        <v>46115</v>
      </c>
      <c r="E2298" t="s">
        <v>204</v>
      </c>
      <c r="F2298" t="s">
        <v>202</v>
      </c>
      <c r="G2298">
        <v>60</v>
      </c>
      <c r="H2298" s="7">
        <v>46136</v>
      </c>
      <c r="I2298" t="s">
        <v>217</v>
      </c>
    </row>
    <row r="2299" spans="1:9">
      <c r="A2299">
        <v>52298</v>
      </c>
      <c r="B2299">
        <v>3195</v>
      </c>
      <c r="C2299">
        <v>2003</v>
      </c>
      <c r="D2299" s="7">
        <v>46116</v>
      </c>
      <c r="E2299" t="s">
        <v>212</v>
      </c>
      <c r="F2299" t="s">
        <v>218</v>
      </c>
      <c r="H2299" s="7"/>
      <c r="I2299" t="s">
        <v>216</v>
      </c>
    </row>
    <row r="2300" spans="1:9">
      <c r="A2300">
        <v>52299</v>
      </c>
      <c r="B2300">
        <v>3195</v>
      </c>
      <c r="C2300">
        <v>2003</v>
      </c>
      <c r="D2300" s="7">
        <v>46173</v>
      </c>
      <c r="E2300" t="s">
        <v>212</v>
      </c>
      <c r="F2300" t="s">
        <v>202</v>
      </c>
      <c r="G2300">
        <v>30</v>
      </c>
      <c r="H2300" s="7">
        <v>46194</v>
      </c>
      <c r="I2300" t="s">
        <v>217</v>
      </c>
    </row>
    <row r="2301" spans="1:9">
      <c r="A2301">
        <v>52300</v>
      </c>
      <c r="B2301">
        <v>3196</v>
      </c>
      <c r="C2301">
        <v>2017</v>
      </c>
      <c r="D2301" s="7">
        <v>45172</v>
      </c>
      <c r="E2301" t="s">
        <v>210</v>
      </c>
      <c r="F2301" t="s">
        <v>214</v>
      </c>
      <c r="H2301" s="7">
        <v>45179</v>
      </c>
      <c r="I2301" t="s">
        <v>217</v>
      </c>
    </row>
    <row r="2302" spans="1:9">
      <c r="A2302">
        <v>52301</v>
      </c>
      <c r="B2302">
        <v>3196</v>
      </c>
      <c r="C2302">
        <v>2017</v>
      </c>
      <c r="D2302" s="7">
        <v>45178</v>
      </c>
      <c r="E2302" t="s">
        <v>210</v>
      </c>
      <c r="F2302" t="s">
        <v>213</v>
      </c>
      <c r="H2302" s="7">
        <v>45199</v>
      </c>
      <c r="I2302" t="s">
        <v>216</v>
      </c>
    </row>
    <row r="2303" spans="1:9">
      <c r="A2303">
        <v>52302</v>
      </c>
      <c r="B2303">
        <v>3196</v>
      </c>
      <c r="C2303">
        <v>2017</v>
      </c>
      <c r="D2303" s="7">
        <v>45188</v>
      </c>
      <c r="E2303" t="s">
        <v>201</v>
      </c>
      <c r="F2303" t="s">
        <v>214</v>
      </c>
      <c r="H2303" s="7">
        <v>45209</v>
      </c>
      <c r="I2303" t="s">
        <v>217</v>
      </c>
    </row>
    <row r="2304" spans="1:9">
      <c r="A2304">
        <v>52303</v>
      </c>
      <c r="B2304">
        <v>3196</v>
      </c>
      <c r="C2304">
        <v>2017</v>
      </c>
      <c r="D2304" s="7">
        <v>45194</v>
      </c>
      <c r="E2304" t="s">
        <v>208</v>
      </c>
      <c r="F2304" t="s">
        <v>202</v>
      </c>
      <c r="G2304">
        <v>60</v>
      </c>
      <c r="H2304" s="7">
        <v>45208</v>
      </c>
      <c r="I2304" t="s">
        <v>217</v>
      </c>
    </row>
    <row r="2305" spans="1:9">
      <c r="A2305">
        <v>52304</v>
      </c>
      <c r="B2305">
        <v>3196</v>
      </c>
      <c r="C2305">
        <v>2017</v>
      </c>
      <c r="D2305" s="7">
        <v>45320</v>
      </c>
      <c r="E2305" t="s">
        <v>212</v>
      </c>
      <c r="F2305" t="s">
        <v>202</v>
      </c>
      <c r="G2305">
        <v>20</v>
      </c>
      <c r="H2305" s="7">
        <v>45341</v>
      </c>
      <c r="I2305" t="s">
        <v>209</v>
      </c>
    </row>
    <row r="2306" spans="1:9">
      <c r="A2306">
        <v>52305</v>
      </c>
      <c r="B2306">
        <v>3196</v>
      </c>
      <c r="C2306">
        <v>2017</v>
      </c>
      <c r="D2306" s="7">
        <v>45342</v>
      </c>
      <c r="E2306" t="s">
        <v>212</v>
      </c>
      <c r="F2306" t="s">
        <v>202</v>
      </c>
      <c r="G2306">
        <v>60</v>
      </c>
      <c r="H2306" s="7">
        <v>45345</v>
      </c>
      <c r="I2306" t="s">
        <v>203</v>
      </c>
    </row>
    <row r="2307" spans="1:9">
      <c r="A2307">
        <v>52306</v>
      </c>
      <c r="B2307">
        <v>3196</v>
      </c>
      <c r="C2307">
        <v>2017</v>
      </c>
      <c r="D2307" s="7">
        <v>45517</v>
      </c>
      <c r="E2307" t="s">
        <v>219</v>
      </c>
      <c r="F2307" t="s">
        <v>205</v>
      </c>
      <c r="H2307" s="7"/>
      <c r="I2307" t="s">
        <v>217</v>
      </c>
    </row>
    <row r="2308" spans="1:9">
      <c r="A2308">
        <v>52307</v>
      </c>
      <c r="B2308">
        <v>3196</v>
      </c>
      <c r="C2308">
        <v>2017</v>
      </c>
      <c r="D2308" s="7">
        <v>45550</v>
      </c>
      <c r="E2308" t="s">
        <v>210</v>
      </c>
      <c r="F2308" t="s">
        <v>213</v>
      </c>
      <c r="H2308" s="7">
        <v>45580</v>
      </c>
      <c r="I2308" t="s">
        <v>207</v>
      </c>
    </row>
    <row r="2309" spans="1:9">
      <c r="A2309">
        <v>52308</v>
      </c>
      <c r="B2309">
        <v>3196</v>
      </c>
      <c r="C2309">
        <v>2017</v>
      </c>
      <c r="D2309" s="7">
        <v>45569</v>
      </c>
      <c r="E2309" t="s">
        <v>219</v>
      </c>
      <c r="F2309" t="s">
        <v>202</v>
      </c>
      <c r="G2309">
        <v>60</v>
      </c>
      <c r="H2309" s="7">
        <v>45599</v>
      </c>
      <c r="I2309" t="s">
        <v>209</v>
      </c>
    </row>
    <row r="2310" spans="1:9">
      <c r="A2310">
        <v>52309</v>
      </c>
      <c r="B2310">
        <v>3196</v>
      </c>
      <c r="C2310">
        <v>2017</v>
      </c>
      <c r="D2310" s="7">
        <v>45674</v>
      </c>
      <c r="E2310" t="s">
        <v>210</v>
      </c>
      <c r="F2310" t="s">
        <v>218</v>
      </c>
      <c r="H2310" s="7"/>
      <c r="I2310" t="s">
        <v>217</v>
      </c>
    </row>
    <row r="2311" spans="1:9">
      <c r="A2311">
        <v>52310</v>
      </c>
      <c r="B2311">
        <v>3196</v>
      </c>
      <c r="C2311">
        <v>2017</v>
      </c>
      <c r="D2311" s="7">
        <v>45833</v>
      </c>
      <c r="E2311" t="s">
        <v>210</v>
      </c>
      <c r="F2311" t="s">
        <v>215</v>
      </c>
      <c r="G2311">
        <v>30</v>
      </c>
      <c r="H2311" s="7">
        <v>45847</v>
      </c>
      <c r="I2311" t="s">
        <v>206</v>
      </c>
    </row>
    <row r="2312" spans="1:9">
      <c r="A2312">
        <v>52311</v>
      </c>
      <c r="B2312">
        <v>3196</v>
      </c>
      <c r="C2312">
        <v>2017</v>
      </c>
      <c r="D2312" s="7">
        <v>45950</v>
      </c>
      <c r="E2312" t="s">
        <v>212</v>
      </c>
      <c r="F2312" t="s">
        <v>202</v>
      </c>
      <c r="G2312">
        <v>60</v>
      </c>
      <c r="H2312" s="7">
        <v>45964</v>
      </c>
      <c r="I2312" t="s">
        <v>206</v>
      </c>
    </row>
    <row r="2313" spans="1:9">
      <c r="A2313">
        <v>52312</v>
      </c>
      <c r="B2313">
        <v>3196</v>
      </c>
      <c r="C2313">
        <v>2017</v>
      </c>
      <c r="D2313" s="7">
        <v>45964</v>
      </c>
      <c r="E2313" t="s">
        <v>219</v>
      </c>
      <c r="F2313" t="s">
        <v>202</v>
      </c>
      <c r="G2313">
        <v>90</v>
      </c>
      <c r="H2313" s="7">
        <v>45971</v>
      </c>
      <c r="I2313" t="s">
        <v>206</v>
      </c>
    </row>
    <row r="2314" spans="1:9">
      <c r="A2314">
        <v>52313</v>
      </c>
      <c r="B2314">
        <v>3196</v>
      </c>
      <c r="C2314">
        <v>2017</v>
      </c>
      <c r="D2314" s="7">
        <v>45970</v>
      </c>
      <c r="E2314" t="s">
        <v>208</v>
      </c>
      <c r="F2314" t="s">
        <v>202</v>
      </c>
      <c r="G2314">
        <v>10</v>
      </c>
      <c r="H2314" s="7">
        <v>45991</v>
      </c>
      <c r="I2314" t="s">
        <v>216</v>
      </c>
    </row>
    <row r="2315" spans="1:9">
      <c r="A2315">
        <v>52314</v>
      </c>
      <c r="B2315">
        <v>3196</v>
      </c>
      <c r="C2315">
        <v>2017</v>
      </c>
      <c r="D2315" s="7">
        <v>46102</v>
      </c>
      <c r="E2315" t="s">
        <v>210</v>
      </c>
      <c r="F2315" t="s">
        <v>213</v>
      </c>
      <c r="H2315" s="7">
        <v>46132</v>
      </c>
      <c r="I2315" t="s">
        <v>211</v>
      </c>
    </row>
    <row r="2316" spans="1:9">
      <c r="A2316">
        <v>52315</v>
      </c>
      <c r="B2316">
        <v>3196</v>
      </c>
      <c r="C2316">
        <v>2017</v>
      </c>
      <c r="D2316" s="7">
        <v>46111</v>
      </c>
      <c r="E2316" t="s">
        <v>212</v>
      </c>
      <c r="F2316" t="s">
        <v>202</v>
      </c>
      <c r="G2316">
        <v>30</v>
      </c>
      <c r="H2316" s="7">
        <v>46125</v>
      </c>
      <c r="I2316" t="s">
        <v>207</v>
      </c>
    </row>
    <row r="2317" spans="1:9">
      <c r="A2317">
        <v>52316</v>
      </c>
      <c r="B2317">
        <v>3197</v>
      </c>
      <c r="C2317">
        <v>2005</v>
      </c>
      <c r="D2317" s="7">
        <v>45629</v>
      </c>
      <c r="E2317" t="s">
        <v>212</v>
      </c>
      <c r="F2317" t="s">
        <v>202</v>
      </c>
      <c r="G2317">
        <v>45</v>
      </c>
      <c r="H2317" s="7">
        <v>45643</v>
      </c>
      <c r="I2317" t="s">
        <v>211</v>
      </c>
    </row>
    <row r="2318" spans="1:9">
      <c r="A2318">
        <v>52317</v>
      </c>
      <c r="B2318">
        <v>3197</v>
      </c>
      <c r="C2318">
        <v>2005</v>
      </c>
      <c r="D2318" s="7">
        <v>45809</v>
      </c>
      <c r="E2318" t="s">
        <v>204</v>
      </c>
      <c r="F2318" t="s">
        <v>205</v>
      </c>
      <c r="H2318" s="7"/>
      <c r="I2318" t="s">
        <v>207</v>
      </c>
    </row>
    <row r="2319" spans="1:9">
      <c r="A2319">
        <v>52318</v>
      </c>
      <c r="B2319">
        <v>3197</v>
      </c>
      <c r="C2319">
        <v>2005</v>
      </c>
      <c r="D2319" s="7">
        <v>45810</v>
      </c>
      <c r="E2319" t="s">
        <v>212</v>
      </c>
      <c r="F2319" t="s">
        <v>213</v>
      </c>
      <c r="H2319" s="7">
        <v>45817</v>
      </c>
      <c r="I2319" t="s">
        <v>206</v>
      </c>
    </row>
    <row r="2320" spans="1:9">
      <c r="A2320">
        <v>52319</v>
      </c>
      <c r="B2320">
        <v>3197</v>
      </c>
      <c r="C2320">
        <v>2005</v>
      </c>
      <c r="D2320" s="7">
        <v>45821</v>
      </c>
      <c r="E2320" t="s">
        <v>210</v>
      </c>
      <c r="F2320" t="s">
        <v>215</v>
      </c>
      <c r="G2320">
        <v>15</v>
      </c>
      <c r="H2320" s="7">
        <v>45828</v>
      </c>
      <c r="I2320" t="s">
        <v>217</v>
      </c>
    </row>
    <row r="2321" spans="1:9">
      <c r="A2321">
        <v>52320</v>
      </c>
      <c r="B2321">
        <v>3197</v>
      </c>
      <c r="C2321">
        <v>2005</v>
      </c>
      <c r="D2321" s="7">
        <v>45949</v>
      </c>
      <c r="E2321" t="s">
        <v>201</v>
      </c>
      <c r="F2321" t="s">
        <v>202</v>
      </c>
      <c r="G2321">
        <v>20</v>
      </c>
      <c r="H2321" s="7">
        <v>45963</v>
      </c>
      <c r="I2321" t="s">
        <v>217</v>
      </c>
    </row>
    <row r="2322" spans="1:9">
      <c r="A2322">
        <v>52321</v>
      </c>
      <c r="B2322">
        <v>3197</v>
      </c>
      <c r="C2322">
        <v>2005</v>
      </c>
      <c r="D2322" s="7">
        <v>45970</v>
      </c>
      <c r="E2322" t="s">
        <v>212</v>
      </c>
      <c r="F2322" t="s">
        <v>202</v>
      </c>
      <c r="G2322">
        <v>10</v>
      </c>
      <c r="H2322" s="7">
        <v>45977</v>
      </c>
      <c r="I2322" t="s">
        <v>206</v>
      </c>
    </row>
    <row r="2323" spans="1:9">
      <c r="A2323">
        <v>52322</v>
      </c>
      <c r="B2323">
        <v>3197</v>
      </c>
      <c r="C2323">
        <v>2005</v>
      </c>
      <c r="D2323" s="7">
        <v>45983</v>
      </c>
      <c r="E2323" t="s">
        <v>204</v>
      </c>
      <c r="F2323" t="s">
        <v>213</v>
      </c>
      <c r="H2323" s="7">
        <v>45997</v>
      </c>
      <c r="I2323" t="s">
        <v>217</v>
      </c>
    </row>
    <row r="2324" spans="1:9">
      <c r="A2324">
        <v>52323</v>
      </c>
      <c r="B2324">
        <v>3197</v>
      </c>
      <c r="C2324">
        <v>2005</v>
      </c>
      <c r="D2324" s="7">
        <v>45998</v>
      </c>
      <c r="E2324" t="s">
        <v>201</v>
      </c>
      <c r="F2324" t="s">
        <v>202</v>
      </c>
      <c r="G2324">
        <v>60</v>
      </c>
      <c r="H2324" s="7">
        <v>46001</v>
      </c>
      <c r="I2324" t="s">
        <v>207</v>
      </c>
    </row>
    <row r="2325" spans="1:9">
      <c r="A2325">
        <v>52324</v>
      </c>
      <c r="B2325">
        <v>3197</v>
      </c>
      <c r="C2325">
        <v>2005</v>
      </c>
      <c r="D2325" s="7">
        <v>45999</v>
      </c>
      <c r="E2325" t="s">
        <v>219</v>
      </c>
      <c r="F2325" t="s">
        <v>202</v>
      </c>
      <c r="G2325">
        <v>45</v>
      </c>
      <c r="H2325" s="7">
        <v>46013</v>
      </c>
      <c r="I2325" t="s">
        <v>217</v>
      </c>
    </row>
    <row r="2326" spans="1:9">
      <c r="A2326">
        <v>52325</v>
      </c>
      <c r="B2326">
        <v>3197</v>
      </c>
      <c r="C2326">
        <v>2005</v>
      </c>
      <c r="D2326" s="7">
        <v>46008</v>
      </c>
      <c r="E2326" t="s">
        <v>210</v>
      </c>
      <c r="F2326" t="s">
        <v>205</v>
      </c>
      <c r="H2326" s="7"/>
      <c r="I2326" t="s">
        <v>211</v>
      </c>
    </row>
    <row r="2327" spans="1:9">
      <c r="A2327">
        <v>52326</v>
      </c>
      <c r="B2327">
        <v>3197</v>
      </c>
      <c r="C2327">
        <v>2005</v>
      </c>
      <c r="D2327" s="7">
        <v>46015</v>
      </c>
      <c r="E2327" t="s">
        <v>204</v>
      </c>
      <c r="F2327" t="s">
        <v>205</v>
      </c>
      <c r="H2327" s="7"/>
      <c r="I2327" t="s">
        <v>203</v>
      </c>
    </row>
    <row r="2328" spans="1:9">
      <c r="A2328">
        <v>52327</v>
      </c>
      <c r="B2328">
        <v>3197</v>
      </c>
      <c r="C2328">
        <v>2005</v>
      </c>
      <c r="D2328" s="7">
        <v>46020</v>
      </c>
      <c r="E2328" t="s">
        <v>210</v>
      </c>
      <c r="F2328" t="s">
        <v>214</v>
      </c>
      <c r="H2328" s="7">
        <v>46023</v>
      </c>
      <c r="I2328" t="s">
        <v>206</v>
      </c>
    </row>
    <row r="2329" spans="1:9">
      <c r="A2329">
        <v>52328</v>
      </c>
      <c r="B2329">
        <v>3198</v>
      </c>
      <c r="C2329">
        <v>2003</v>
      </c>
      <c r="D2329" s="7">
        <v>46197</v>
      </c>
      <c r="E2329" t="s">
        <v>208</v>
      </c>
      <c r="F2329" t="s">
        <v>205</v>
      </c>
      <c r="H2329" s="7"/>
      <c r="I2329" t="s">
        <v>217</v>
      </c>
    </row>
    <row r="2330" spans="1:9">
      <c r="A2330">
        <v>52329</v>
      </c>
      <c r="B2330">
        <v>3198</v>
      </c>
      <c r="C2330">
        <v>2003</v>
      </c>
      <c r="D2330" s="7">
        <v>46197</v>
      </c>
      <c r="E2330" t="s">
        <v>212</v>
      </c>
      <c r="F2330" t="s">
        <v>202</v>
      </c>
      <c r="G2330">
        <v>90</v>
      </c>
      <c r="H2330" s="7"/>
      <c r="I2330" t="s">
        <v>206</v>
      </c>
    </row>
    <row r="2331" spans="1:9">
      <c r="A2331">
        <v>52330</v>
      </c>
      <c r="B2331">
        <v>3198</v>
      </c>
      <c r="C2331">
        <v>2003</v>
      </c>
      <c r="D2331" s="7">
        <v>46197</v>
      </c>
      <c r="E2331" t="s">
        <v>210</v>
      </c>
      <c r="F2331" t="s">
        <v>214</v>
      </c>
      <c r="H2331" s="7">
        <v>46200</v>
      </c>
      <c r="I2331" t="s">
        <v>211</v>
      </c>
    </row>
    <row r="2332" spans="1:9">
      <c r="A2332">
        <v>52331</v>
      </c>
      <c r="B2332">
        <v>3198</v>
      </c>
      <c r="C2332">
        <v>2003</v>
      </c>
      <c r="D2332" s="7">
        <v>46197</v>
      </c>
      <c r="E2332" t="s">
        <v>210</v>
      </c>
      <c r="F2332" t="s">
        <v>202</v>
      </c>
      <c r="G2332">
        <v>20</v>
      </c>
      <c r="H2332" s="7">
        <v>46211</v>
      </c>
      <c r="I2332" t="s">
        <v>209</v>
      </c>
    </row>
    <row r="2333" spans="1:9">
      <c r="A2333">
        <v>52332</v>
      </c>
      <c r="B2333">
        <v>3198</v>
      </c>
      <c r="C2333">
        <v>2003</v>
      </c>
      <c r="D2333" s="7">
        <v>46198</v>
      </c>
      <c r="E2333" t="s">
        <v>208</v>
      </c>
      <c r="F2333" t="s">
        <v>214</v>
      </c>
      <c r="H2333" s="7"/>
      <c r="I2333" t="s">
        <v>209</v>
      </c>
    </row>
    <row r="2334" spans="1:9">
      <c r="A2334">
        <v>52333</v>
      </c>
      <c r="B2334">
        <v>3198</v>
      </c>
      <c r="C2334">
        <v>2003</v>
      </c>
      <c r="D2334" s="7">
        <v>46198</v>
      </c>
      <c r="E2334" t="s">
        <v>219</v>
      </c>
      <c r="F2334" t="s">
        <v>202</v>
      </c>
      <c r="G2334">
        <v>90</v>
      </c>
      <c r="H2334" s="7">
        <v>46201</v>
      </c>
      <c r="I2334" t="s">
        <v>203</v>
      </c>
    </row>
    <row r="2335" spans="1:9">
      <c r="A2335">
        <v>52334</v>
      </c>
      <c r="B2335">
        <v>3198</v>
      </c>
      <c r="C2335">
        <v>2003</v>
      </c>
      <c r="D2335" s="7">
        <v>46200</v>
      </c>
      <c r="E2335" t="s">
        <v>212</v>
      </c>
      <c r="F2335" t="s">
        <v>214</v>
      </c>
      <c r="H2335" s="7">
        <v>46207</v>
      </c>
      <c r="I2335" t="s">
        <v>206</v>
      </c>
    </row>
    <row r="2336" spans="1:9">
      <c r="A2336">
        <v>52335</v>
      </c>
      <c r="B2336">
        <v>3198</v>
      </c>
      <c r="C2336">
        <v>2003</v>
      </c>
      <c r="D2336" s="7">
        <v>46200</v>
      </c>
      <c r="E2336" t="s">
        <v>204</v>
      </c>
      <c r="F2336" t="s">
        <v>202</v>
      </c>
      <c r="G2336">
        <v>45</v>
      </c>
      <c r="H2336" s="7">
        <v>46207</v>
      </c>
      <c r="I2336" t="s">
        <v>207</v>
      </c>
    </row>
    <row r="2337" spans="1:9">
      <c r="A2337">
        <v>52336</v>
      </c>
      <c r="B2337">
        <v>3198</v>
      </c>
      <c r="C2337">
        <v>2003</v>
      </c>
      <c r="D2337" s="7">
        <v>46201</v>
      </c>
      <c r="E2337" t="s">
        <v>204</v>
      </c>
      <c r="F2337" t="s">
        <v>214</v>
      </c>
      <c r="H2337" s="7"/>
      <c r="I2337" t="s">
        <v>209</v>
      </c>
    </row>
    <row r="2338" spans="1:9">
      <c r="A2338">
        <v>52337</v>
      </c>
      <c r="B2338">
        <v>3198</v>
      </c>
      <c r="C2338">
        <v>2003</v>
      </c>
      <c r="D2338" s="7">
        <v>46201</v>
      </c>
      <c r="E2338" t="s">
        <v>204</v>
      </c>
      <c r="F2338" t="s">
        <v>213</v>
      </c>
      <c r="H2338" s="7">
        <v>46208</v>
      </c>
      <c r="I2338" t="s">
        <v>206</v>
      </c>
    </row>
    <row r="2339" spans="1:9">
      <c r="A2339">
        <v>52338</v>
      </c>
      <c r="B2339">
        <v>3198</v>
      </c>
      <c r="C2339">
        <v>2003</v>
      </c>
      <c r="D2339" s="7">
        <v>46202</v>
      </c>
      <c r="E2339" t="s">
        <v>212</v>
      </c>
      <c r="F2339" t="s">
        <v>218</v>
      </c>
      <c r="H2339" s="7"/>
      <c r="I2339" t="s">
        <v>207</v>
      </c>
    </row>
    <row r="2340" spans="1:9">
      <c r="A2340">
        <v>52339</v>
      </c>
      <c r="B2340">
        <v>3198</v>
      </c>
      <c r="C2340">
        <v>2003</v>
      </c>
      <c r="D2340" s="7">
        <v>46202</v>
      </c>
      <c r="E2340" t="s">
        <v>208</v>
      </c>
      <c r="F2340" t="s">
        <v>205</v>
      </c>
      <c r="H2340" s="7"/>
      <c r="I2340" t="s">
        <v>203</v>
      </c>
    </row>
    <row r="2341" spans="1:9">
      <c r="A2341">
        <v>52340</v>
      </c>
      <c r="B2341">
        <v>3198</v>
      </c>
      <c r="C2341">
        <v>2003</v>
      </c>
      <c r="D2341" s="7">
        <v>46203</v>
      </c>
      <c r="E2341" t="s">
        <v>219</v>
      </c>
      <c r="F2341" t="s">
        <v>202</v>
      </c>
      <c r="G2341">
        <v>15</v>
      </c>
      <c r="H2341" s="7"/>
      <c r="I2341" t="s">
        <v>216</v>
      </c>
    </row>
    <row r="2342" spans="1:9">
      <c r="A2342">
        <v>52341</v>
      </c>
      <c r="B2342">
        <v>3198</v>
      </c>
      <c r="C2342">
        <v>2003</v>
      </c>
      <c r="D2342" s="7">
        <v>46203</v>
      </c>
      <c r="E2342" t="s">
        <v>210</v>
      </c>
      <c r="F2342" t="s">
        <v>218</v>
      </c>
      <c r="H2342" s="7"/>
      <c r="I2342" t="s">
        <v>211</v>
      </c>
    </row>
    <row r="2343" spans="1:9">
      <c r="A2343">
        <v>52342</v>
      </c>
      <c r="B2343">
        <v>3198</v>
      </c>
      <c r="C2343">
        <v>2003</v>
      </c>
      <c r="D2343" s="7">
        <v>46203</v>
      </c>
      <c r="E2343" t="s">
        <v>210</v>
      </c>
      <c r="F2343" t="s">
        <v>213</v>
      </c>
      <c r="H2343" s="7">
        <v>46206</v>
      </c>
      <c r="I2343" t="s">
        <v>211</v>
      </c>
    </row>
    <row r="2344" spans="1:9">
      <c r="A2344">
        <v>52343</v>
      </c>
      <c r="B2344">
        <v>3199</v>
      </c>
      <c r="C2344">
        <v>2013</v>
      </c>
      <c r="D2344" s="7">
        <v>45596</v>
      </c>
      <c r="E2344" t="s">
        <v>210</v>
      </c>
      <c r="F2344" t="s">
        <v>214</v>
      </c>
      <c r="H2344" s="7">
        <v>45603</v>
      </c>
      <c r="I2344" t="s">
        <v>209</v>
      </c>
    </row>
    <row r="2345" spans="1:9">
      <c r="A2345">
        <v>52344</v>
      </c>
      <c r="B2345">
        <v>3199</v>
      </c>
      <c r="C2345">
        <v>2013</v>
      </c>
      <c r="D2345" s="7">
        <v>45714</v>
      </c>
      <c r="E2345" t="s">
        <v>201</v>
      </c>
      <c r="F2345" t="s">
        <v>202</v>
      </c>
      <c r="G2345">
        <v>10</v>
      </c>
      <c r="H2345" s="7">
        <v>45717</v>
      </c>
      <c r="I2345" t="s">
        <v>217</v>
      </c>
    </row>
    <row r="2346" spans="1:9">
      <c r="A2346">
        <v>52345</v>
      </c>
      <c r="B2346">
        <v>3199</v>
      </c>
      <c r="C2346">
        <v>2013</v>
      </c>
      <c r="D2346" s="7">
        <v>45733</v>
      </c>
      <c r="E2346" t="s">
        <v>210</v>
      </c>
      <c r="F2346" t="s">
        <v>202</v>
      </c>
      <c r="G2346">
        <v>15</v>
      </c>
      <c r="H2346" s="7">
        <v>45763</v>
      </c>
      <c r="I2346" t="s">
        <v>217</v>
      </c>
    </row>
    <row r="2347" spans="1:9">
      <c r="A2347">
        <v>52346</v>
      </c>
      <c r="B2347">
        <v>3199</v>
      </c>
      <c r="C2347">
        <v>2013</v>
      </c>
      <c r="D2347" s="7">
        <v>45869</v>
      </c>
      <c r="E2347" t="s">
        <v>201</v>
      </c>
      <c r="F2347" t="s">
        <v>202</v>
      </c>
      <c r="G2347">
        <v>20</v>
      </c>
      <c r="H2347" s="7">
        <v>45872</v>
      </c>
      <c r="I2347" t="s">
        <v>207</v>
      </c>
    </row>
    <row r="2348" spans="1:9">
      <c r="A2348">
        <v>52347</v>
      </c>
      <c r="B2348">
        <v>3199</v>
      </c>
      <c r="C2348">
        <v>2013</v>
      </c>
      <c r="D2348" s="7">
        <v>45877</v>
      </c>
      <c r="E2348" t="s">
        <v>204</v>
      </c>
      <c r="F2348" t="s">
        <v>202</v>
      </c>
      <c r="G2348">
        <v>15</v>
      </c>
      <c r="H2348" s="7">
        <v>45884</v>
      </c>
      <c r="I2348" t="s">
        <v>209</v>
      </c>
    </row>
    <row r="2349" spans="1:9">
      <c r="A2349">
        <v>52348</v>
      </c>
      <c r="B2349">
        <v>3199</v>
      </c>
      <c r="C2349">
        <v>2013</v>
      </c>
      <c r="D2349" s="7">
        <v>45973</v>
      </c>
      <c r="E2349" t="s">
        <v>210</v>
      </c>
      <c r="F2349" t="s">
        <v>218</v>
      </c>
      <c r="H2349" s="7"/>
      <c r="I2349" t="s">
        <v>217</v>
      </c>
    </row>
    <row r="2350" spans="1:9">
      <c r="A2350">
        <v>52349</v>
      </c>
      <c r="B2350">
        <v>3199</v>
      </c>
      <c r="C2350">
        <v>2013</v>
      </c>
      <c r="D2350" s="7">
        <v>46022</v>
      </c>
      <c r="E2350" t="s">
        <v>219</v>
      </c>
      <c r="F2350" t="s">
        <v>214</v>
      </c>
      <c r="H2350" s="7">
        <v>46043</v>
      </c>
      <c r="I2350" t="s">
        <v>216</v>
      </c>
    </row>
    <row r="2351" spans="1:9">
      <c r="A2351">
        <v>52350</v>
      </c>
      <c r="B2351">
        <v>3199</v>
      </c>
      <c r="C2351">
        <v>2013</v>
      </c>
      <c r="D2351" s="7">
        <v>46026</v>
      </c>
      <c r="E2351" t="s">
        <v>204</v>
      </c>
      <c r="F2351" t="s">
        <v>218</v>
      </c>
      <c r="H2351" s="7"/>
      <c r="I2351" t="s">
        <v>207</v>
      </c>
    </row>
    <row r="2352" spans="1:9">
      <c r="A2352">
        <v>52351</v>
      </c>
      <c r="B2352">
        <v>3200</v>
      </c>
      <c r="C2352">
        <v>2003</v>
      </c>
      <c r="D2352" s="7">
        <v>45705</v>
      </c>
      <c r="E2352" t="s">
        <v>201</v>
      </c>
      <c r="F2352" t="s">
        <v>202</v>
      </c>
      <c r="G2352">
        <v>10</v>
      </c>
      <c r="H2352" s="7">
        <v>45712</v>
      </c>
      <c r="I2352" t="s">
        <v>211</v>
      </c>
    </row>
    <row r="2353" spans="1:9">
      <c r="A2353">
        <v>52352</v>
      </c>
      <c r="B2353">
        <v>3200</v>
      </c>
      <c r="C2353">
        <v>2003</v>
      </c>
      <c r="D2353" s="7">
        <v>45708</v>
      </c>
      <c r="E2353" t="s">
        <v>212</v>
      </c>
      <c r="F2353" t="s">
        <v>205</v>
      </c>
      <c r="H2353" s="7"/>
      <c r="I2353" t="s">
        <v>216</v>
      </c>
    </row>
    <row r="2354" spans="1:9">
      <c r="A2354">
        <v>52353</v>
      </c>
      <c r="B2354">
        <v>3200</v>
      </c>
      <c r="C2354">
        <v>2003</v>
      </c>
      <c r="D2354" s="7">
        <v>45748</v>
      </c>
      <c r="E2354" t="s">
        <v>212</v>
      </c>
      <c r="F2354" t="s">
        <v>202</v>
      </c>
      <c r="G2354">
        <v>90</v>
      </c>
      <c r="H2354" s="7">
        <v>45762</v>
      </c>
      <c r="I2354" t="s">
        <v>203</v>
      </c>
    </row>
    <row r="2355" spans="1:9">
      <c r="A2355">
        <v>52354</v>
      </c>
      <c r="B2355">
        <v>3200</v>
      </c>
      <c r="C2355">
        <v>2003</v>
      </c>
      <c r="D2355" s="7">
        <v>45878</v>
      </c>
      <c r="E2355" t="s">
        <v>201</v>
      </c>
      <c r="F2355" t="s">
        <v>214</v>
      </c>
      <c r="H2355" s="7">
        <v>45908</v>
      </c>
      <c r="I2355" t="s">
        <v>206</v>
      </c>
    </row>
    <row r="2356" spans="1:9">
      <c r="A2356">
        <v>52355</v>
      </c>
      <c r="B2356">
        <v>3200</v>
      </c>
      <c r="C2356">
        <v>2003</v>
      </c>
      <c r="D2356" s="7">
        <v>45909</v>
      </c>
      <c r="E2356" t="s">
        <v>208</v>
      </c>
      <c r="F2356" t="s">
        <v>215</v>
      </c>
      <c r="G2356">
        <v>30</v>
      </c>
      <c r="H2356" s="7">
        <v>45930</v>
      </c>
      <c r="I2356" t="s">
        <v>207</v>
      </c>
    </row>
    <row r="2357" spans="1:9">
      <c r="A2357">
        <v>52356</v>
      </c>
      <c r="B2357">
        <v>3200</v>
      </c>
      <c r="C2357">
        <v>2003</v>
      </c>
      <c r="D2357" s="7">
        <v>45950</v>
      </c>
      <c r="E2357" t="s">
        <v>204</v>
      </c>
      <c r="F2357" t="s">
        <v>213</v>
      </c>
      <c r="H2357" s="7">
        <v>45953</v>
      </c>
      <c r="I2357" t="s">
        <v>209</v>
      </c>
    </row>
    <row r="2358" spans="1:9">
      <c r="A2358">
        <v>52357</v>
      </c>
      <c r="B2358">
        <v>3200</v>
      </c>
      <c r="C2358">
        <v>2003</v>
      </c>
      <c r="D2358" s="7">
        <v>46082</v>
      </c>
      <c r="E2358" t="s">
        <v>210</v>
      </c>
      <c r="F2358" t="s">
        <v>218</v>
      </c>
      <c r="H2358" s="7"/>
      <c r="I2358" t="s">
        <v>209</v>
      </c>
    </row>
    <row r="2359" spans="1:9">
      <c r="A2359">
        <v>52358</v>
      </c>
      <c r="B2359">
        <v>3200</v>
      </c>
      <c r="C2359">
        <v>2003</v>
      </c>
      <c r="D2359" s="7">
        <v>46126</v>
      </c>
      <c r="E2359" t="s">
        <v>219</v>
      </c>
      <c r="F2359" t="s">
        <v>215</v>
      </c>
      <c r="G2359">
        <v>60</v>
      </c>
      <c r="H2359" s="7">
        <v>46156</v>
      </c>
      <c r="I2359" t="s">
        <v>216</v>
      </c>
    </row>
    <row r="2360" spans="1:9">
      <c r="A2360">
        <v>52359</v>
      </c>
      <c r="B2360">
        <v>3200</v>
      </c>
      <c r="C2360">
        <v>2003</v>
      </c>
      <c r="D2360" s="7">
        <v>46162</v>
      </c>
      <c r="E2360" t="s">
        <v>219</v>
      </c>
      <c r="F2360" t="s">
        <v>218</v>
      </c>
      <c r="H2360" s="7"/>
      <c r="I2360" t="s">
        <v>203</v>
      </c>
    </row>
    <row r="2361" spans="1:9">
      <c r="A2361">
        <v>52360</v>
      </c>
      <c r="B2361">
        <v>3200</v>
      </c>
      <c r="C2361">
        <v>2003</v>
      </c>
      <c r="D2361" s="7">
        <v>46193</v>
      </c>
      <c r="E2361" t="s">
        <v>219</v>
      </c>
      <c r="F2361" t="s">
        <v>202</v>
      </c>
      <c r="G2361">
        <v>10</v>
      </c>
      <c r="H2361" s="7"/>
      <c r="I2361" t="s">
        <v>206</v>
      </c>
    </row>
    <row r="2362" spans="1:9">
      <c r="A2362">
        <v>52361</v>
      </c>
      <c r="B2362">
        <v>3200</v>
      </c>
      <c r="C2362">
        <v>2003</v>
      </c>
      <c r="D2362" s="7">
        <v>46214</v>
      </c>
      <c r="E2362" t="s">
        <v>212</v>
      </c>
      <c r="F2362" t="s">
        <v>202</v>
      </c>
      <c r="G2362">
        <v>10</v>
      </c>
      <c r="H2362" s="7"/>
      <c r="I2362" t="s">
        <v>217</v>
      </c>
    </row>
    <row r="2363" spans="1:9">
      <c r="A2363">
        <v>52362</v>
      </c>
      <c r="B2363">
        <v>3201</v>
      </c>
      <c r="C2363">
        <v>2011</v>
      </c>
      <c r="D2363" s="7">
        <v>45759</v>
      </c>
      <c r="E2363" t="s">
        <v>204</v>
      </c>
      <c r="F2363" t="s">
        <v>213</v>
      </c>
      <c r="H2363" s="7">
        <v>45780</v>
      </c>
      <c r="I2363" t="s">
        <v>203</v>
      </c>
    </row>
    <row r="2364" spans="1:9">
      <c r="A2364">
        <v>52363</v>
      </c>
      <c r="B2364">
        <v>3201</v>
      </c>
      <c r="C2364">
        <v>2011</v>
      </c>
      <c r="D2364" s="7">
        <v>45815</v>
      </c>
      <c r="E2364" t="s">
        <v>219</v>
      </c>
      <c r="F2364" t="s">
        <v>215</v>
      </c>
      <c r="G2364">
        <v>60</v>
      </c>
      <c r="H2364" s="7">
        <v>45845</v>
      </c>
      <c r="I2364" t="s">
        <v>211</v>
      </c>
    </row>
    <row r="2365" spans="1:9">
      <c r="A2365">
        <v>52364</v>
      </c>
      <c r="B2365">
        <v>3201</v>
      </c>
      <c r="C2365">
        <v>2011</v>
      </c>
      <c r="D2365" s="7">
        <v>46046</v>
      </c>
      <c r="E2365" t="s">
        <v>201</v>
      </c>
      <c r="F2365" t="s">
        <v>214</v>
      </c>
      <c r="H2365" s="7">
        <v>46049</v>
      </c>
      <c r="I2365" t="s">
        <v>216</v>
      </c>
    </row>
    <row r="2366" spans="1:9">
      <c r="A2366">
        <v>52365</v>
      </c>
      <c r="B2366">
        <v>3201</v>
      </c>
      <c r="C2366">
        <v>2011</v>
      </c>
      <c r="D2366" s="7">
        <v>46115</v>
      </c>
      <c r="E2366" t="s">
        <v>208</v>
      </c>
      <c r="F2366" t="s">
        <v>202</v>
      </c>
      <c r="G2366">
        <v>30</v>
      </c>
      <c r="H2366" s="7">
        <v>46136</v>
      </c>
      <c r="I2366" t="s">
        <v>207</v>
      </c>
    </row>
    <row r="2367" spans="1:9">
      <c r="A2367">
        <v>52366</v>
      </c>
      <c r="B2367">
        <v>3201</v>
      </c>
      <c r="C2367">
        <v>2011</v>
      </c>
      <c r="D2367" s="7">
        <v>46208</v>
      </c>
      <c r="E2367" t="s">
        <v>201</v>
      </c>
      <c r="F2367" t="s">
        <v>214</v>
      </c>
      <c r="H2367" s="7">
        <v>46211</v>
      </c>
      <c r="I2367" t="s">
        <v>217</v>
      </c>
    </row>
    <row r="2368" spans="1:9">
      <c r="A2368">
        <v>52367</v>
      </c>
      <c r="B2368">
        <v>3202</v>
      </c>
      <c r="C2368">
        <v>2014</v>
      </c>
      <c r="D2368" s="7">
        <v>46148</v>
      </c>
      <c r="E2368" t="s">
        <v>210</v>
      </c>
      <c r="F2368" t="s">
        <v>218</v>
      </c>
      <c r="H2368" s="7"/>
      <c r="I2368" t="s">
        <v>216</v>
      </c>
    </row>
    <row r="2369" spans="1:9">
      <c r="A2369">
        <v>52368</v>
      </c>
      <c r="B2369">
        <v>3202</v>
      </c>
      <c r="C2369">
        <v>2014</v>
      </c>
      <c r="D2369" s="7">
        <v>46154</v>
      </c>
      <c r="E2369" t="s">
        <v>201</v>
      </c>
      <c r="F2369" t="s">
        <v>213</v>
      </c>
      <c r="H2369" s="7">
        <v>46161</v>
      </c>
      <c r="I2369" t="s">
        <v>217</v>
      </c>
    </row>
    <row r="2370" spans="1:9">
      <c r="A2370">
        <v>52369</v>
      </c>
      <c r="B2370">
        <v>3202</v>
      </c>
      <c r="C2370">
        <v>2014</v>
      </c>
      <c r="D2370" s="7">
        <v>46159</v>
      </c>
      <c r="E2370" t="s">
        <v>201</v>
      </c>
      <c r="F2370" t="s">
        <v>202</v>
      </c>
      <c r="G2370">
        <v>20</v>
      </c>
      <c r="H2370" s="7">
        <v>46166</v>
      </c>
      <c r="I2370" t="s">
        <v>211</v>
      </c>
    </row>
    <row r="2371" spans="1:9">
      <c r="A2371">
        <v>52370</v>
      </c>
      <c r="B2371">
        <v>3202</v>
      </c>
      <c r="C2371">
        <v>2014</v>
      </c>
      <c r="D2371" s="7">
        <v>46170</v>
      </c>
      <c r="E2371" t="s">
        <v>204</v>
      </c>
      <c r="F2371" t="s">
        <v>214</v>
      </c>
      <c r="H2371" s="7">
        <v>46200</v>
      </c>
      <c r="I2371" t="s">
        <v>211</v>
      </c>
    </row>
    <row r="2372" spans="1:9">
      <c r="A2372">
        <v>52371</v>
      </c>
      <c r="B2372">
        <v>3202</v>
      </c>
      <c r="C2372">
        <v>2014</v>
      </c>
      <c r="D2372" s="7">
        <v>46175</v>
      </c>
      <c r="E2372" t="s">
        <v>212</v>
      </c>
      <c r="F2372" t="s">
        <v>202</v>
      </c>
      <c r="G2372">
        <v>10</v>
      </c>
      <c r="H2372" s="7">
        <v>46205</v>
      </c>
      <c r="I2372" t="s">
        <v>211</v>
      </c>
    </row>
    <row r="2373" spans="1:9">
      <c r="A2373">
        <v>52372</v>
      </c>
      <c r="B2373">
        <v>3202</v>
      </c>
      <c r="C2373">
        <v>2014</v>
      </c>
      <c r="D2373" s="7">
        <v>46179</v>
      </c>
      <c r="E2373" t="s">
        <v>204</v>
      </c>
      <c r="F2373" t="s">
        <v>202</v>
      </c>
      <c r="G2373">
        <v>15</v>
      </c>
      <c r="H2373" s="7">
        <v>46182</v>
      </c>
      <c r="I2373" t="s">
        <v>207</v>
      </c>
    </row>
    <row r="2374" spans="1:9">
      <c r="A2374">
        <v>52373</v>
      </c>
      <c r="B2374">
        <v>3202</v>
      </c>
      <c r="C2374">
        <v>2014</v>
      </c>
      <c r="D2374" s="7">
        <v>46185</v>
      </c>
      <c r="E2374" t="s">
        <v>212</v>
      </c>
      <c r="F2374" t="s">
        <v>213</v>
      </c>
      <c r="H2374" s="7">
        <v>46206</v>
      </c>
      <c r="I2374" t="s">
        <v>211</v>
      </c>
    </row>
    <row r="2375" spans="1:9">
      <c r="A2375">
        <v>52374</v>
      </c>
      <c r="B2375">
        <v>3202</v>
      </c>
      <c r="C2375">
        <v>2014</v>
      </c>
      <c r="D2375" s="7">
        <v>46196</v>
      </c>
      <c r="E2375" t="s">
        <v>212</v>
      </c>
      <c r="F2375" t="s">
        <v>214</v>
      </c>
      <c r="H2375" s="7">
        <v>46203</v>
      </c>
      <c r="I2375" t="s">
        <v>206</v>
      </c>
    </row>
    <row r="2376" spans="1:9">
      <c r="A2376">
        <v>52375</v>
      </c>
      <c r="B2376">
        <v>3202</v>
      </c>
      <c r="C2376">
        <v>2014</v>
      </c>
      <c r="D2376" s="7">
        <v>46198</v>
      </c>
      <c r="E2376" t="s">
        <v>212</v>
      </c>
      <c r="F2376" t="s">
        <v>205</v>
      </c>
      <c r="H2376" s="7"/>
      <c r="I2376" t="s">
        <v>216</v>
      </c>
    </row>
    <row r="2377" spans="1:9">
      <c r="A2377">
        <v>52376</v>
      </c>
      <c r="B2377">
        <v>3202</v>
      </c>
      <c r="C2377">
        <v>2014</v>
      </c>
      <c r="D2377" s="7">
        <v>46209</v>
      </c>
      <c r="E2377" t="s">
        <v>210</v>
      </c>
      <c r="F2377" t="s">
        <v>218</v>
      </c>
      <c r="H2377" s="7"/>
      <c r="I2377" t="s">
        <v>203</v>
      </c>
    </row>
    <row r="2378" spans="1:9">
      <c r="A2378">
        <v>52377</v>
      </c>
      <c r="B2378">
        <v>3203</v>
      </c>
      <c r="C2378">
        <v>2005</v>
      </c>
      <c r="D2378" s="7">
        <v>45421</v>
      </c>
      <c r="E2378" t="s">
        <v>201</v>
      </c>
      <c r="F2378" t="s">
        <v>214</v>
      </c>
      <c r="H2378" s="7">
        <v>45428</v>
      </c>
      <c r="I2378" t="s">
        <v>216</v>
      </c>
    </row>
    <row r="2379" spans="1:9">
      <c r="A2379">
        <v>52378</v>
      </c>
      <c r="B2379">
        <v>3203</v>
      </c>
      <c r="C2379">
        <v>2005</v>
      </c>
      <c r="D2379" s="7">
        <v>45440</v>
      </c>
      <c r="E2379" t="s">
        <v>212</v>
      </c>
      <c r="F2379" t="s">
        <v>213</v>
      </c>
      <c r="H2379" s="7">
        <v>45454</v>
      </c>
      <c r="I2379" t="s">
        <v>211</v>
      </c>
    </row>
    <row r="2380" spans="1:9">
      <c r="A2380">
        <v>52379</v>
      </c>
      <c r="B2380">
        <v>3203</v>
      </c>
      <c r="C2380">
        <v>2005</v>
      </c>
      <c r="D2380" s="7">
        <v>45441</v>
      </c>
      <c r="E2380" t="s">
        <v>219</v>
      </c>
      <c r="F2380" t="s">
        <v>214</v>
      </c>
      <c r="H2380" s="7">
        <v>45448</v>
      </c>
      <c r="I2380" t="s">
        <v>216</v>
      </c>
    </row>
    <row r="2381" spans="1:9">
      <c r="A2381">
        <v>52380</v>
      </c>
      <c r="B2381">
        <v>3203</v>
      </c>
      <c r="C2381">
        <v>2005</v>
      </c>
      <c r="D2381" s="7">
        <v>45460</v>
      </c>
      <c r="E2381" t="s">
        <v>201</v>
      </c>
      <c r="F2381" t="s">
        <v>218</v>
      </c>
      <c r="H2381" s="7"/>
      <c r="I2381" t="s">
        <v>216</v>
      </c>
    </row>
    <row r="2382" spans="1:9">
      <c r="A2382">
        <v>52381</v>
      </c>
      <c r="B2382">
        <v>3203</v>
      </c>
      <c r="C2382">
        <v>2005</v>
      </c>
      <c r="D2382" s="7">
        <v>45583</v>
      </c>
      <c r="E2382" t="s">
        <v>212</v>
      </c>
      <c r="F2382" t="s">
        <v>202</v>
      </c>
      <c r="G2382">
        <v>30</v>
      </c>
      <c r="H2382" s="7">
        <v>45604</v>
      </c>
      <c r="I2382" t="s">
        <v>216</v>
      </c>
    </row>
    <row r="2383" spans="1:9">
      <c r="A2383">
        <v>52382</v>
      </c>
      <c r="B2383">
        <v>3203</v>
      </c>
      <c r="C2383">
        <v>2005</v>
      </c>
      <c r="D2383" s="7">
        <v>45725</v>
      </c>
      <c r="E2383" t="s">
        <v>201</v>
      </c>
      <c r="F2383" t="s">
        <v>202</v>
      </c>
      <c r="G2383">
        <v>60</v>
      </c>
      <c r="H2383" s="7">
        <v>45746</v>
      </c>
      <c r="I2383" t="s">
        <v>216</v>
      </c>
    </row>
    <row r="2384" spans="1:9">
      <c r="A2384">
        <v>52383</v>
      </c>
      <c r="B2384">
        <v>3203</v>
      </c>
      <c r="C2384">
        <v>2005</v>
      </c>
      <c r="D2384" s="7">
        <v>45760</v>
      </c>
      <c r="E2384" t="s">
        <v>212</v>
      </c>
      <c r="F2384" t="s">
        <v>213</v>
      </c>
      <c r="H2384" s="7">
        <v>45767</v>
      </c>
      <c r="I2384" t="s">
        <v>211</v>
      </c>
    </row>
    <row r="2385" spans="1:9">
      <c r="A2385">
        <v>52384</v>
      </c>
      <c r="B2385">
        <v>3203</v>
      </c>
      <c r="C2385">
        <v>2005</v>
      </c>
      <c r="D2385" s="7">
        <v>45811</v>
      </c>
      <c r="E2385" t="s">
        <v>210</v>
      </c>
      <c r="F2385" t="s">
        <v>202</v>
      </c>
      <c r="G2385">
        <v>20</v>
      </c>
      <c r="H2385" s="7">
        <v>45814</v>
      </c>
      <c r="I2385" t="s">
        <v>203</v>
      </c>
    </row>
    <row r="2386" spans="1:9">
      <c r="A2386">
        <v>52385</v>
      </c>
      <c r="B2386">
        <v>3203</v>
      </c>
      <c r="C2386">
        <v>2005</v>
      </c>
      <c r="D2386" s="7">
        <v>45852</v>
      </c>
      <c r="E2386" t="s">
        <v>212</v>
      </c>
      <c r="F2386" t="s">
        <v>202</v>
      </c>
      <c r="G2386">
        <v>60</v>
      </c>
      <c r="H2386" s="7">
        <v>45866</v>
      </c>
      <c r="I2386" t="s">
        <v>217</v>
      </c>
    </row>
    <row r="2387" spans="1:9">
      <c r="A2387">
        <v>52386</v>
      </c>
      <c r="B2387">
        <v>3204</v>
      </c>
      <c r="C2387">
        <v>2013</v>
      </c>
      <c r="D2387" s="7">
        <v>45741</v>
      </c>
      <c r="E2387" t="s">
        <v>212</v>
      </c>
      <c r="F2387" t="s">
        <v>205</v>
      </c>
      <c r="H2387" s="7"/>
      <c r="I2387" t="s">
        <v>203</v>
      </c>
    </row>
    <row r="2388" spans="1:9">
      <c r="A2388">
        <v>52387</v>
      </c>
      <c r="B2388">
        <v>3204</v>
      </c>
      <c r="C2388">
        <v>2013</v>
      </c>
      <c r="D2388" s="7">
        <v>45777</v>
      </c>
      <c r="E2388" t="s">
        <v>212</v>
      </c>
      <c r="F2388" t="s">
        <v>214</v>
      </c>
      <c r="H2388" s="7">
        <v>45784</v>
      </c>
      <c r="I2388" t="s">
        <v>203</v>
      </c>
    </row>
    <row r="2389" spans="1:9">
      <c r="A2389">
        <v>52388</v>
      </c>
      <c r="B2389">
        <v>3204</v>
      </c>
      <c r="C2389">
        <v>2013</v>
      </c>
      <c r="D2389" s="7">
        <v>45816</v>
      </c>
      <c r="E2389" t="s">
        <v>201</v>
      </c>
      <c r="F2389" t="s">
        <v>202</v>
      </c>
      <c r="G2389">
        <v>30</v>
      </c>
      <c r="H2389" s="7">
        <v>45837</v>
      </c>
      <c r="I2389" t="s">
        <v>209</v>
      </c>
    </row>
    <row r="2390" spans="1:9">
      <c r="A2390">
        <v>52389</v>
      </c>
      <c r="B2390">
        <v>3204</v>
      </c>
      <c r="C2390">
        <v>2013</v>
      </c>
      <c r="D2390" s="7">
        <v>45817</v>
      </c>
      <c r="E2390" t="s">
        <v>212</v>
      </c>
      <c r="F2390" t="s">
        <v>202</v>
      </c>
      <c r="G2390">
        <v>90</v>
      </c>
      <c r="H2390" s="7">
        <v>45831</v>
      </c>
      <c r="I2390" t="s">
        <v>217</v>
      </c>
    </row>
    <row r="2391" spans="1:9">
      <c r="A2391">
        <v>52390</v>
      </c>
      <c r="B2391">
        <v>3204</v>
      </c>
      <c r="C2391">
        <v>2013</v>
      </c>
      <c r="D2391" s="7">
        <v>45821</v>
      </c>
      <c r="E2391" t="s">
        <v>204</v>
      </c>
      <c r="F2391" t="s">
        <v>202</v>
      </c>
      <c r="G2391">
        <v>90</v>
      </c>
      <c r="H2391" s="7">
        <v>45835</v>
      </c>
      <c r="I2391" t="s">
        <v>217</v>
      </c>
    </row>
    <row r="2392" spans="1:9">
      <c r="A2392">
        <v>52391</v>
      </c>
      <c r="B2392">
        <v>3204</v>
      </c>
      <c r="C2392">
        <v>2013</v>
      </c>
      <c r="D2392" s="7">
        <v>45880</v>
      </c>
      <c r="E2392" t="s">
        <v>210</v>
      </c>
      <c r="F2392" t="s">
        <v>205</v>
      </c>
      <c r="H2392" s="7"/>
      <c r="I2392" t="s">
        <v>206</v>
      </c>
    </row>
    <row r="2393" spans="1:9">
      <c r="A2393">
        <v>52392</v>
      </c>
      <c r="B2393">
        <v>3204</v>
      </c>
      <c r="C2393">
        <v>2013</v>
      </c>
      <c r="D2393" s="7">
        <v>45910</v>
      </c>
      <c r="E2393" t="s">
        <v>212</v>
      </c>
      <c r="F2393" t="s">
        <v>202</v>
      </c>
      <c r="G2393">
        <v>30</v>
      </c>
      <c r="H2393" s="7">
        <v>45940</v>
      </c>
      <c r="I2393" t="s">
        <v>209</v>
      </c>
    </row>
    <row r="2394" spans="1:9">
      <c r="A2394">
        <v>52393</v>
      </c>
      <c r="B2394">
        <v>3204</v>
      </c>
      <c r="C2394">
        <v>2013</v>
      </c>
      <c r="D2394" s="7">
        <v>45982</v>
      </c>
      <c r="E2394" t="s">
        <v>212</v>
      </c>
      <c r="F2394" t="s">
        <v>213</v>
      </c>
      <c r="H2394" s="7">
        <v>45996</v>
      </c>
      <c r="I2394" t="s">
        <v>203</v>
      </c>
    </row>
    <row r="2395" spans="1:9">
      <c r="A2395">
        <v>52394</v>
      </c>
      <c r="B2395">
        <v>3204</v>
      </c>
      <c r="C2395">
        <v>2013</v>
      </c>
      <c r="D2395" s="7">
        <v>46015</v>
      </c>
      <c r="E2395" t="s">
        <v>201</v>
      </c>
      <c r="F2395" t="s">
        <v>202</v>
      </c>
      <c r="G2395">
        <v>10</v>
      </c>
      <c r="H2395" s="7">
        <v>46022</v>
      </c>
      <c r="I2395" t="s">
        <v>209</v>
      </c>
    </row>
    <row r="2396" spans="1:9">
      <c r="A2396">
        <v>52395</v>
      </c>
      <c r="B2396">
        <v>3204</v>
      </c>
      <c r="C2396">
        <v>2013</v>
      </c>
      <c r="D2396" s="7">
        <v>46043</v>
      </c>
      <c r="E2396" t="s">
        <v>212</v>
      </c>
      <c r="F2396" t="s">
        <v>214</v>
      </c>
      <c r="H2396" s="7">
        <v>46046</v>
      </c>
      <c r="I2396" t="s">
        <v>206</v>
      </c>
    </row>
    <row r="2397" spans="1:9">
      <c r="A2397">
        <v>52396</v>
      </c>
      <c r="B2397">
        <v>3204</v>
      </c>
      <c r="C2397">
        <v>2013</v>
      </c>
      <c r="D2397" s="7">
        <v>46155</v>
      </c>
      <c r="E2397" t="s">
        <v>204</v>
      </c>
      <c r="F2397" t="s">
        <v>205</v>
      </c>
      <c r="H2397" s="7"/>
      <c r="I2397" t="s">
        <v>216</v>
      </c>
    </row>
    <row r="2398" spans="1:9">
      <c r="A2398">
        <v>52397</v>
      </c>
      <c r="B2398">
        <v>3204</v>
      </c>
      <c r="C2398">
        <v>2013</v>
      </c>
      <c r="D2398" s="7">
        <v>46166</v>
      </c>
      <c r="E2398" t="s">
        <v>212</v>
      </c>
      <c r="F2398" t="s">
        <v>202</v>
      </c>
      <c r="G2398">
        <v>45</v>
      </c>
      <c r="H2398" s="7">
        <v>46180</v>
      </c>
      <c r="I2398" t="s">
        <v>203</v>
      </c>
    </row>
    <row r="2399" spans="1:9">
      <c r="A2399">
        <v>52398</v>
      </c>
      <c r="B2399">
        <v>3204</v>
      </c>
      <c r="C2399">
        <v>2013</v>
      </c>
      <c r="D2399" s="7">
        <v>46176</v>
      </c>
      <c r="E2399" t="s">
        <v>210</v>
      </c>
      <c r="F2399" t="s">
        <v>218</v>
      </c>
      <c r="H2399" s="7"/>
      <c r="I2399" t="s">
        <v>217</v>
      </c>
    </row>
    <row r="2400" spans="1:9">
      <c r="A2400">
        <v>52399</v>
      </c>
      <c r="B2400">
        <v>3204</v>
      </c>
      <c r="C2400">
        <v>2013</v>
      </c>
      <c r="D2400" s="7">
        <v>46190</v>
      </c>
      <c r="E2400" t="s">
        <v>212</v>
      </c>
      <c r="F2400" t="s">
        <v>214</v>
      </c>
      <c r="H2400" s="7">
        <v>46193</v>
      </c>
      <c r="I2400" t="s">
        <v>216</v>
      </c>
    </row>
    <row r="2401" spans="1:9">
      <c r="A2401">
        <v>52400</v>
      </c>
      <c r="B2401">
        <v>3204</v>
      </c>
      <c r="C2401">
        <v>2013</v>
      </c>
      <c r="D2401" s="7">
        <v>46193</v>
      </c>
      <c r="E2401" t="s">
        <v>212</v>
      </c>
      <c r="F2401" t="s">
        <v>202</v>
      </c>
      <c r="G2401">
        <v>20</v>
      </c>
      <c r="H2401" s="7"/>
      <c r="I2401" t="s">
        <v>203</v>
      </c>
    </row>
    <row r="2402" spans="1:9">
      <c r="A2402">
        <v>52401</v>
      </c>
      <c r="B2402">
        <v>3204</v>
      </c>
      <c r="C2402">
        <v>2013</v>
      </c>
      <c r="D2402" s="7">
        <v>46203</v>
      </c>
      <c r="E2402" t="s">
        <v>212</v>
      </c>
      <c r="F2402" t="s">
        <v>202</v>
      </c>
      <c r="G2402">
        <v>10</v>
      </c>
      <c r="H2402" s="7"/>
      <c r="I2402" t="s">
        <v>206</v>
      </c>
    </row>
    <row r="2403" spans="1:9">
      <c r="A2403">
        <v>52402</v>
      </c>
      <c r="B2403">
        <v>3204</v>
      </c>
      <c r="C2403">
        <v>2013</v>
      </c>
      <c r="D2403" s="7">
        <v>46210</v>
      </c>
      <c r="E2403" t="s">
        <v>201</v>
      </c>
      <c r="F2403" t="s">
        <v>202</v>
      </c>
      <c r="G2403">
        <v>90</v>
      </c>
      <c r="H2403" s="7"/>
      <c r="I2403" t="s">
        <v>211</v>
      </c>
    </row>
    <row r="2404" spans="1:9">
      <c r="A2404">
        <v>52403</v>
      </c>
      <c r="B2404">
        <v>3204</v>
      </c>
      <c r="C2404">
        <v>2013</v>
      </c>
      <c r="D2404" s="7">
        <v>46212</v>
      </c>
      <c r="E2404" t="s">
        <v>204</v>
      </c>
      <c r="F2404" t="s">
        <v>214</v>
      </c>
      <c r="H2404" s="7"/>
      <c r="I2404" t="s">
        <v>207</v>
      </c>
    </row>
    <row r="2405" spans="1:9">
      <c r="A2405">
        <v>52404</v>
      </c>
      <c r="B2405">
        <v>3205</v>
      </c>
      <c r="C2405">
        <v>2006</v>
      </c>
      <c r="D2405" s="7">
        <v>45462</v>
      </c>
      <c r="E2405" t="s">
        <v>212</v>
      </c>
      <c r="F2405" t="s">
        <v>202</v>
      </c>
      <c r="G2405">
        <v>90</v>
      </c>
      <c r="H2405" s="7">
        <v>45483</v>
      </c>
      <c r="I2405" t="s">
        <v>206</v>
      </c>
    </row>
    <row r="2406" spans="1:9">
      <c r="A2406">
        <v>52405</v>
      </c>
      <c r="B2406">
        <v>3205</v>
      </c>
      <c r="C2406">
        <v>2006</v>
      </c>
      <c r="D2406" s="7">
        <v>45537</v>
      </c>
      <c r="E2406" t="s">
        <v>201</v>
      </c>
      <c r="F2406" t="s">
        <v>202</v>
      </c>
      <c r="G2406">
        <v>45</v>
      </c>
      <c r="H2406" s="7">
        <v>45540</v>
      </c>
      <c r="I2406" t="s">
        <v>216</v>
      </c>
    </row>
    <row r="2407" spans="1:9">
      <c r="A2407">
        <v>52406</v>
      </c>
      <c r="B2407">
        <v>3205</v>
      </c>
      <c r="C2407">
        <v>2006</v>
      </c>
      <c r="D2407" s="7">
        <v>45651</v>
      </c>
      <c r="E2407" t="s">
        <v>208</v>
      </c>
      <c r="F2407" t="s">
        <v>215</v>
      </c>
      <c r="G2407">
        <v>15</v>
      </c>
      <c r="H2407" s="7">
        <v>45654</v>
      </c>
      <c r="I2407" t="s">
        <v>207</v>
      </c>
    </row>
    <row r="2408" spans="1:9">
      <c r="A2408">
        <v>52407</v>
      </c>
      <c r="B2408">
        <v>3205</v>
      </c>
      <c r="C2408">
        <v>2006</v>
      </c>
      <c r="D2408" s="7">
        <v>45651</v>
      </c>
      <c r="E2408" t="s">
        <v>212</v>
      </c>
      <c r="F2408" t="s">
        <v>214</v>
      </c>
      <c r="H2408" s="7">
        <v>45665</v>
      </c>
      <c r="I2408" t="s">
        <v>216</v>
      </c>
    </row>
    <row r="2409" spans="1:9">
      <c r="A2409">
        <v>52408</v>
      </c>
      <c r="B2409">
        <v>3205</v>
      </c>
      <c r="C2409">
        <v>2006</v>
      </c>
      <c r="D2409" s="7">
        <v>45760</v>
      </c>
      <c r="E2409" t="s">
        <v>210</v>
      </c>
      <c r="F2409" t="s">
        <v>218</v>
      </c>
      <c r="H2409" s="7"/>
      <c r="I2409" t="s">
        <v>209</v>
      </c>
    </row>
    <row r="2410" spans="1:9">
      <c r="A2410">
        <v>52409</v>
      </c>
      <c r="B2410">
        <v>3205</v>
      </c>
      <c r="C2410">
        <v>2006</v>
      </c>
      <c r="D2410" s="7">
        <v>45862</v>
      </c>
      <c r="E2410" t="s">
        <v>212</v>
      </c>
      <c r="F2410" t="s">
        <v>215</v>
      </c>
      <c r="G2410">
        <v>15</v>
      </c>
      <c r="H2410" s="7">
        <v>45865</v>
      </c>
      <c r="I2410" t="s">
        <v>217</v>
      </c>
    </row>
    <row r="2411" spans="1:9">
      <c r="A2411">
        <v>52410</v>
      </c>
      <c r="B2411">
        <v>3205</v>
      </c>
      <c r="C2411">
        <v>2006</v>
      </c>
      <c r="D2411" s="7">
        <v>45969</v>
      </c>
      <c r="E2411" t="s">
        <v>212</v>
      </c>
      <c r="F2411" t="s">
        <v>202</v>
      </c>
      <c r="G2411">
        <v>20</v>
      </c>
      <c r="H2411" s="7">
        <v>45972</v>
      </c>
      <c r="I2411" t="s">
        <v>211</v>
      </c>
    </row>
    <row r="2412" spans="1:9">
      <c r="A2412">
        <v>52411</v>
      </c>
      <c r="B2412">
        <v>3205</v>
      </c>
      <c r="C2412">
        <v>2006</v>
      </c>
      <c r="D2412" s="7">
        <v>46036</v>
      </c>
      <c r="E2412" t="s">
        <v>204</v>
      </c>
      <c r="F2412" t="s">
        <v>215</v>
      </c>
      <c r="G2412">
        <v>20</v>
      </c>
      <c r="H2412" s="7">
        <v>46057</v>
      </c>
      <c r="I2412" t="s">
        <v>206</v>
      </c>
    </row>
    <row r="2413" spans="1:9">
      <c r="A2413">
        <v>52412</v>
      </c>
      <c r="B2413">
        <v>3205</v>
      </c>
      <c r="C2413">
        <v>2006</v>
      </c>
      <c r="D2413" s="7">
        <v>46144</v>
      </c>
      <c r="E2413" t="s">
        <v>208</v>
      </c>
      <c r="F2413" t="s">
        <v>214</v>
      </c>
      <c r="H2413" s="7">
        <v>46158</v>
      </c>
      <c r="I2413" t="s">
        <v>207</v>
      </c>
    </row>
    <row r="2414" spans="1:9">
      <c r="A2414">
        <v>52413</v>
      </c>
      <c r="B2414">
        <v>3205</v>
      </c>
      <c r="C2414">
        <v>2006</v>
      </c>
      <c r="D2414" s="7">
        <v>46158</v>
      </c>
      <c r="E2414" t="s">
        <v>201</v>
      </c>
      <c r="F2414" t="s">
        <v>202</v>
      </c>
      <c r="G2414">
        <v>90</v>
      </c>
      <c r="H2414" s="7">
        <v>46172</v>
      </c>
      <c r="I2414" t="s">
        <v>206</v>
      </c>
    </row>
    <row r="2415" spans="1:9">
      <c r="A2415">
        <v>52414</v>
      </c>
      <c r="B2415">
        <v>3206</v>
      </c>
      <c r="C2415">
        <v>2012</v>
      </c>
      <c r="D2415" s="7">
        <v>46152</v>
      </c>
      <c r="E2415" t="s">
        <v>219</v>
      </c>
      <c r="F2415" t="s">
        <v>202</v>
      </c>
      <c r="G2415">
        <v>10</v>
      </c>
      <c r="H2415" s="7">
        <v>46173</v>
      </c>
      <c r="I2415" t="s">
        <v>217</v>
      </c>
    </row>
    <row r="2416" spans="1:9">
      <c r="A2416">
        <v>52415</v>
      </c>
      <c r="B2416">
        <v>3206</v>
      </c>
      <c r="C2416">
        <v>2012</v>
      </c>
      <c r="D2416" s="7">
        <v>46152</v>
      </c>
      <c r="E2416" t="s">
        <v>212</v>
      </c>
      <c r="F2416" t="s">
        <v>202</v>
      </c>
      <c r="G2416">
        <v>20</v>
      </c>
      <c r="H2416" s="7">
        <v>46173</v>
      </c>
      <c r="I2416" t="s">
        <v>209</v>
      </c>
    </row>
    <row r="2417" spans="1:9">
      <c r="A2417">
        <v>52416</v>
      </c>
      <c r="B2417">
        <v>3206</v>
      </c>
      <c r="C2417">
        <v>2012</v>
      </c>
      <c r="D2417" s="7">
        <v>46155</v>
      </c>
      <c r="E2417" t="s">
        <v>204</v>
      </c>
      <c r="F2417" t="s">
        <v>205</v>
      </c>
      <c r="H2417" s="7"/>
      <c r="I2417" t="s">
        <v>217</v>
      </c>
    </row>
    <row r="2418" spans="1:9">
      <c r="A2418">
        <v>52417</v>
      </c>
      <c r="B2418">
        <v>3206</v>
      </c>
      <c r="C2418">
        <v>2012</v>
      </c>
      <c r="D2418" s="7">
        <v>46155</v>
      </c>
      <c r="E2418" t="s">
        <v>204</v>
      </c>
      <c r="F2418" t="s">
        <v>218</v>
      </c>
      <c r="H2418" s="7"/>
      <c r="I2418" t="s">
        <v>207</v>
      </c>
    </row>
    <row r="2419" spans="1:9">
      <c r="A2419">
        <v>52418</v>
      </c>
      <c r="B2419">
        <v>3206</v>
      </c>
      <c r="C2419">
        <v>2012</v>
      </c>
      <c r="D2419" s="7">
        <v>46162</v>
      </c>
      <c r="E2419" t="s">
        <v>212</v>
      </c>
      <c r="F2419" t="s">
        <v>202</v>
      </c>
      <c r="G2419">
        <v>20</v>
      </c>
      <c r="H2419" s="7">
        <v>46183</v>
      </c>
      <c r="I2419" t="s">
        <v>217</v>
      </c>
    </row>
    <row r="2420" spans="1:9">
      <c r="A2420">
        <v>52419</v>
      </c>
      <c r="B2420">
        <v>3207</v>
      </c>
      <c r="C2420">
        <v>2007</v>
      </c>
      <c r="D2420" s="7">
        <v>45446</v>
      </c>
      <c r="E2420" t="s">
        <v>210</v>
      </c>
      <c r="F2420" t="s">
        <v>218</v>
      </c>
      <c r="H2420" s="7"/>
      <c r="I2420" t="s">
        <v>206</v>
      </c>
    </row>
    <row r="2421" spans="1:9">
      <c r="A2421">
        <v>52420</v>
      </c>
      <c r="B2421">
        <v>3207</v>
      </c>
      <c r="C2421">
        <v>2007</v>
      </c>
      <c r="D2421" s="7">
        <v>45470</v>
      </c>
      <c r="E2421" t="s">
        <v>219</v>
      </c>
      <c r="F2421" t="s">
        <v>202</v>
      </c>
      <c r="G2421">
        <v>10</v>
      </c>
      <c r="H2421" s="7">
        <v>45491</v>
      </c>
      <c r="I2421" t="s">
        <v>217</v>
      </c>
    </row>
    <row r="2422" spans="1:9">
      <c r="A2422">
        <v>52421</v>
      </c>
      <c r="B2422">
        <v>3207</v>
      </c>
      <c r="C2422">
        <v>2007</v>
      </c>
      <c r="D2422" s="7">
        <v>45571</v>
      </c>
      <c r="E2422" t="s">
        <v>212</v>
      </c>
      <c r="F2422" t="s">
        <v>202</v>
      </c>
      <c r="G2422">
        <v>15</v>
      </c>
      <c r="H2422" s="7">
        <v>45578</v>
      </c>
      <c r="I2422" t="s">
        <v>217</v>
      </c>
    </row>
    <row r="2423" spans="1:9">
      <c r="A2423">
        <v>52422</v>
      </c>
      <c r="B2423">
        <v>3207</v>
      </c>
      <c r="C2423">
        <v>2007</v>
      </c>
      <c r="D2423" s="7">
        <v>45589</v>
      </c>
      <c r="E2423" t="s">
        <v>212</v>
      </c>
      <c r="F2423" t="s">
        <v>202</v>
      </c>
      <c r="G2423">
        <v>20</v>
      </c>
      <c r="H2423" s="7">
        <v>45592</v>
      </c>
      <c r="I2423" t="s">
        <v>217</v>
      </c>
    </row>
    <row r="2424" spans="1:9">
      <c r="A2424">
        <v>52423</v>
      </c>
      <c r="B2424">
        <v>3207</v>
      </c>
      <c r="C2424">
        <v>2007</v>
      </c>
      <c r="D2424" s="7">
        <v>45606</v>
      </c>
      <c r="E2424" t="s">
        <v>204</v>
      </c>
      <c r="F2424" t="s">
        <v>213</v>
      </c>
      <c r="H2424" s="7">
        <v>45636</v>
      </c>
      <c r="I2424" t="s">
        <v>207</v>
      </c>
    </row>
    <row r="2425" spans="1:9">
      <c r="A2425">
        <v>52424</v>
      </c>
      <c r="B2425">
        <v>3207</v>
      </c>
      <c r="C2425">
        <v>2007</v>
      </c>
      <c r="D2425" s="7">
        <v>45617</v>
      </c>
      <c r="E2425" t="s">
        <v>210</v>
      </c>
      <c r="F2425" t="s">
        <v>213</v>
      </c>
      <c r="H2425" s="7">
        <v>45620</v>
      </c>
      <c r="I2425" t="s">
        <v>207</v>
      </c>
    </row>
    <row r="2426" spans="1:9">
      <c r="A2426">
        <v>52425</v>
      </c>
      <c r="B2426">
        <v>3207</v>
      </c>
      <c r="C2426">
        <v>2007</v>
      </c>
      <c r="D2426" s="7">
        <v>45623</v>
      </c>
      <c r="E2426" t="s">
        <v>208</v>
      </c>
      <c r="F2426" t="s">
        <v>213</v>
      </c>
      <c r="H2426" s="7">
        <v>45626</v>
      </c>
      <c r="I2426" t="s">
        <v>211</v>
      </c>
    </row>
    <row r="2427" spans="1:9">
      <c r="A2427">
        <v>52426</v>
      </c>
      <c r="B2427">
        <v>3207</v>
      </c>
      <c r="C2427">
        <v>2007</v>
      </c>
      <c r="D2427" s="7">
        <v>45941</v>
      </c>
      <c r="E2427" t="s">
        <v>219</v>
      </c>
      <c r="F2427" t="s">
        <v>202</v>
      </c>
      <c r="G2427">
        <v>30</v>
      </c>
      <c r="H2427" s="7">
        <v>45971</v>
      </c>
      <c r="I2427" t="s">
        <v>203</v>
      </c>
    </row>
    <row r="2428" spans="1:9">
      <c r="A2428">
        <v>52427</v>
      </c>
      <c r="B2428">
        <v>3207</v>
      </c>
      <c r="C2428">
        <v>2007</v>
      </c>
      <c r="D2428" s="7">
        <v>45955</v>
      </c>
      <c r="E2428" t="s">
        <v>219</v>
      </c>
      <c r="F2428" t="s">
        <v>202</v>
      </c>
      <c r="G2428">
        <v>45</v>
      </c>
      <c r="H2428" s="7">
        <v>45985</v>
      </c>
      <c r="I2428" t="s">
        <v>211</v>
      </c>
    </row>
    <row r="2429" spans="1:9">
      <c r="A2429">
        <v>52428</v>
      </c>
      <c r="B2429">
        <v>3207</v>
      </c>
      <c r="C2429">
        <v>2007</v>
      </c>
      <c r="D2429" s="7">
        <v>45990</v>
      </c>
      <c r="E2429" t="s">
        <v>208</v>
      </c>
      <c r="F2429" t="s">
        <v>202</v>
      </c>
      <c r="G2429">
        <v>30</v>
      </c>
      <c r="H2429" s="7">
        <v>45993</v>
      </c>
      <c r="I2429" t="s">
        <v>207</v>
      </c>
    </row>
    <row r="2430" spans="1:9">
      <c r="A2430">
        <v>52429</v>
      </c>
      <c r="B2430">
        <v>3207</v>
      </c>
      <c r="C2430">
        <v>2007</v>
      </c>
      <c r="D2430" s="7">
        <v>45990</v>
      </c>
      <c r="E2430" t="s">
        <v>210</v>
      </c>
      <c r="F2430" t="s">
        <v>218</v>
      </c>
      <c r="H2430" s="7"/>
      <c r="I2430" t="s">
        <v>216</v>
      </c>
    </row>
    <row r="2431" spans="1:9">
      <c r="A2431">
        <v>52430</v>
      </c>
      <c r="B2431">
        <v>3207</v>
      </c>
      <c r="C2431">
        <v>2007</v>
      </c>
      <c r="D2431" s="7">
        <v>46189</v>
      </c>
      <c r="E2431" t="s">
        <v>219</v>
      </c>
      <c r="F2431" t="s">
        <v>214</v>
      </c>
      <c r="H2431" s="7">
        <v>46192</v>
      </c>
      <c r="I2431" t="s">
        <v>216</v>
      </c>
    </row>
    <row r="2432" spans="1:9">
      <c r="A2432">
        <v>52431</v>
      </c>
      <c r="B2432">
        <v>3207</v>
      </c>
      <c r="C2432">
        <v>2007</v>
      </c>
      <c r="D2432" s="7">
        <v>46211</v>
      </c>
      <c r="E2432" t="s">
        <v>212</v>
      </c>
      <c r="F2432" t="s">
        <v>202</v>
      </c>
      <c r="G2432">
        <v>10</v>
      </c>
      <c r="H2432" s="7"/>
      <c r="I2432" t="s">
        <v>203</v>
      </c>
    </row>
    <row r="2433" spans="1:9">
      <c r="A2433">
        <v>52432</v>
      </c>
      <c r="B2433">
        <v>3208</v>
      </c>
      <c r="C2433">
        <v>2008</v>
      </c>
      <c r="D2433" s="7">
        <v>46054</v>
      </c>
      <c r="E2433" t="s">
        <v>210</v>
      </c>
      <c r="F2433" t="s">
        <v>218</v>
      </c>
      <c r="H2433" s="7"/>
      <c r="I2433" t="s">
        <v>203</v>
      </c>
    </row>
    <row r="2434" spans="1:9">
      <c r="A2434">
        <v>52433</v>
      </c>
      <c r="B2434">
        <v>3208</v>
      </c>
      <c r="C2434">
        <v>2008</v>
      </c>
      <c r="D2434" s="7">
        <v>46056</v>
      </c>
      <c r="E2434" t="s">
        <v>210</v>
      </c>
      <c r="F2434" t="s">
        <v>202</v>
      </c>
      <c r="G2434">
        <v>10</v>
      </c>
      <c r="H2434" s="7">
        <v>46086</v>
      </c>
      <c r="I2434" t="s">
        <v>207</v>
      </c>
    </row>
    <row r="2435" spans="1:9">
      <c r="A2435">
        <v>52434</v>
      </c>
      <c r="B2435">
        <v>3208</v>
      </c>
      <c r="C2435">
        <v>2008</v>
      </c>
      <c r="D2435" s="7">
        <v>46060</v>
      </c>
      <c r="E2435" t="s">
        <v>210</v>
      </c>
      <c r="F2435" t="s">
        <v>202</v>
      </c>
      <c r="G2435">
        <v>60</v>
      </c>
      <c r="H2435" s="7">
        <v>46074</v>
      </c>
      <c r="I2435" t="s">
        <v>203</v>
      </c>
    </row>
    <row r="2436" spans="1:9">
      <c r="A2436">
        <v>52435</v>
      </c>
      <c r="B2436">
        <v>3208</v>
      </c>
      <c r="C2436">
        <v>2008</v>
      </c>
      <c r="D2436" s="7">
        <v>46071</v>
      </c>
      <c r="E2436" t="s">
        <v>201</v>
      </c>
      <c r="F2436" t="s">
        <v>215</v>
      </c>
      <c r="G2436">
        <v>20</v>
      </c>
      <c r="H2436" s="7">
        <v>46085</v>
      </c>
      <c r="I2436" t="s">
        <v>209</v>
      </c>
    </row>
    <row r="2437" spans="1:9">
      <c r="A2437">
        <v>52436</v>
      </c>
      <c r="B2437">
        <v>3208</v>
      </c>
      <c r="C2437">
        <v>2008</v>
      </c>
      <c r="D2437" s="7">
        <v>46094</v>
      </c>
      <c r="E2437" t="s">
        <v>208</v>
      </c>
      <c r="F2437" t="s">
        <v>202</v>
      </c>
      <c r="G2437">
        <v>60</v>
      </c>
      <c r="H2437" s="7">
        <v>46108</v>
      </c>
      <c r="I2437" t="s">
        <v>216</v>
      </c>
    </row>
    <row r="2438" spans="1:9">
      <c r="A2438">
        <v>52437</v>
      </c>
      <c r="B2438">
        <v>3208</v>
      </c>
      <c r="C2438">
        <v>2008</v>
      </c>
      <c r="D2438" s="7">
        <v>46096</v>
      </c>
      <c r="E2438" t="s">
        <v>201</v>
      </c>
      <c r="F2438" t="s">
        <v>202</v>
      </c>
      <c r="G2438">
        <v>10</v>
      </c>
      <c r="H2438" s="7">
        <v>46110</v>
      </c>
      <c r="I2438" t="s">
        <v>217</v>
      </c>
    </row>
    <row r="2439" spans="1:9">
      <c r="A2439">
        <v>52438</v>
      </c>
      <c r="B2439">
        <v>3208</v>
      </c>
      <c r="C2439">
        <v>2008</v>
      </c>
      <c r="D2439" s="7">
        <v>46112</v>
      </c>
      <c r="E2439" t="s">
        <v>201</v>
      </c>
      <c r="F2439" t="s">
        <v>213</v>
      </c>
      <c r="H2439" s="7">
        <v>46119</v>
      </c>
      <c r="I2439" t="s">
        <v>207</v>
      </c>
    </row>
    <row r="2440" spans="1:9">
      <c r="A2440">
        <v>52439</v>
      </c>
      <c r="B2440">
        <v>3208</v>
      </c>
      <c r="C2440">
        <v>2008</v>
      </c>
      <c r="D2440" s="7">
        <v>46121</v>
      </c>
      <c r="E2440" t="s">
        <v>219</v>
      </c>
      <c r="F2440" t="s">
        <v>218</v>
      </c>
      <c r="H2440" s="7"/>
      <c r="I2440" t="s">
        <v>217</v>
      </c>
    </row>
    <row r="2441" spans="1:9">
      <c r="A2441">
        <v>52440</v>
      </c>
      <c r="B2441">
        <v>3208</v>
      </c>
      <c r="C2441">
        <v>2008</v>
      </c>
      <c r="D2441" s="7">
        <v>46127</v>
      </c>
      <c r="E2441" t="s">
        <v>219</v>
      </c>
      <c r="F2441" t="s">
        <v>218</v>
      </c>
      <c r="H2441" s="7"/>
      <c r="I2441" t="s">
        <v>209</v>
      </c>
    </row>
    <row r="2442" spans="1:9">
      <c r="A2442">
        <v>52441</v>
      </c>
      <c r="B2442">
        <v>3208</v>
      </c>
      <c r="C2442">
        <v>2008</v>
      </c>
      <c r="D2442" s="7">
        <v>46138</v>
      </c>
      <c r="E2442" t="s">
        <v>201</v>
      </c>
      <c r="F2442" t="s">
        <v>214</v>
      </c>
      <c r="H2442" s="7">
        <v>46159</v>
      </c>
      <c r="I2442" t="s">
        <v>211</v>
      </c>
    </row>
    <row r="2443" spans="1:9">
      <c r="A2443">
        <v>52442</v>
      </c>
      <c r="B2443">
        <v>3208</v>
      </c>
      <c r="C2443">
        <v>2008</v>
      </c>
      <c r="D2443" s="7">
        <v>46140</v>
      </c>
      <c r="E2443" t="s">
        <v>201</v>
      </c>
      <c r="F2443" t="s">
        <v>202</v>
      </c>
      <c r="G2443">
        <v>15</v>
      </c>
      <c r="H2443" s="7">
        <v>46161</v>
      </c>
      <c r="I2443" t="s">
        <v>203</v>
      </c>
    </row>
    <row r="2444" spans="1:9">
      <c r="A2444">
        <v>52443</v>
      </c>
      <c r="B2444">
        <v>3208</v>
      </c>
      <c r="C2444">
        <v>2008</v>
      </c>
      <c r="D2444" s="7">
        <v>46148</v>
      </c>
      <c r="E2444" t="s">
        <v>219</v>
      </c>
      <c r="F2444" t="s">
        <v>213</v>
      </c>
      <c r="H2444" s="7">
        <v>46178</v>
      </c>
      <c r="I2444" t="s">
        <v>207</v>
      </c>
    </row>
    <row r="2445" spans="1:9">
      <c r="A2445">
        <v>52444</v>
      </c>
      <c r="B2445">
        <v>3209</v>
      </c>
      <c r="C2445">
        <v>2002</v>
      </c>
      <c r="D2445" s="7">
        <v>46199</v>
      </c>
      <c r="E2445" t="s">
        <v>212</v>
      </c>
      <c r="F2445" t="s">
        <v>215</v>
      </c>
      <c r="G2445">
        <v>10</v>
      </c>
      <c r="H2445" s="7"/>
      <c r="I2445" t="s">
        <v>211</v>
      </c>
    </row>
    <row r="2446" spans="1:9">
      <c r="A2446">
        <v>52445</v>
      </c>
      <c r="B2446">
        <v>3209</v>
      </c>
      <c r="C2446">
        <v>2002</v>
      </c>
      <c r="D2446" s="7">
        <v>46202</v>
      </c>
      <c r="E2446" t="s">
        <v>212</v>
      </c>
      <c r="F2446" t="s">
        <v>202</v>
      </c>
      <c r="G2446">
        <v>15</v>
      </c>
      <c r="H2446" s="7">
        <v>46209</v>
      </c>
      <c r="I2446" t="s">
        <v>217</v>
      </c>
    </row>
    <row r="2447" spans="1:9">
      <c r="A2447">
        <v>52446</v>
      </c>
      <c r="B2447">
        <v>3209</v>
      </c>
      <c r="C2447">
        <v>2002</v>
      </c>
      <c r="D2447" s="7">
        <v>46203</v>
      </c>
      <c r="E2447" t="s">
        <v>219</v>
      </c>
      <c r="F2447" t="s">
        <v>202</v>
      </c>
      <c r="G2447">
        <v>20</v>
      </c>
      <c r="H2447" s="7">
        <v>46206</v>
      </c>
      <c r="I2447" t="s">
        <v>206</v>
      </c>
    </row>
    <row r="2448" spans="1:9">
      <c r="A2448">
        <v>52447</v>
      </c>
      <c r="B2448">
        <v>3209</v>
      </c>
      <c r="C2448">
        <v>2002</v>
      </c>
      <c r="D2448" s="7">
        <v>46204</v>
      </c>
      <c r="E2448" t="s">
        <v>212</v>
      </c>
      <c r="F2448" t="s">
        <v>215</v>
      </c>
      <c r="G2448">
        <v>60</v>
      </c>
      <c r="H2448" s="7"/>
      <c r="I2448" t="s">
        <v>206</v>
      </c>
    </row>
    <row r="2449" spans="1:9">
      <c r="A2449">
        <v>52448</v>
      </c>
      <c r="B2449">
        <v>3209</v>
      </c>
      <c r="C2449">
        <v>2002</v>
      </c>
      <c r="D2449" s="7">
        <v>46205</v>
      </c>
      <c r="E2449" t="s">
        <v>201</v>
      </c>
      <c r="F2449" t="s">
        <v>202</v>
      </c>
      <c r="G2449">
        <v>30</v>
      </c>
      <c r="H2449" s="7"/>
      <c r="I2449" t="s">
        <v>217</v>
      </c>
    </row>
    <row r="2450" spans="1:9">
      <c r="A2450">
        <v>52449</v>
      </c>
      <c r="B2450">
        <v>3209</v>
      </c>
      <c r="C2450">
        <v>2002</v>
      </c>
      <c r="D2450" s="7">
        <v>46206</v>
      </c>
      <c r="E2450" t="s">
        <v>208</v>
      </c>
      <c r="F2450" t="s">
        <v>214</v>
      </c>
      <c r="H2450" s="7">
        <v>46209</v>
      </c>
      <c r="I2450" t="s">
        <v>216</v>
      </c>
    </row>
    <row r="2451" spans="1:9">
      <c r="A2451">
        <v>52450</v>
      </c>
      <c r="B2451">
        <v>3209</v>
      </c>
      <c r="C2451">
        <v>2002</v>
      </c>
      <c r="D2451" s="7">
        <v>46207</v>
      </c>
      <c r="E2451" t="s">
        <v>219</v>
      </c>
      <c r="F2451" t="s">
        <v>202</v>
      </c>
      <c r="G2451">
        <v>30</v>
      </c>
      <c r="H2451" s="7">
        <v>46214</v>
      </c>
      <c r="I2451" t="s">
        <v>217</v>
      </c>
    </row>
    <row r="2452" spans="1:9">
      <c r="A2452">
        <v>52451</v>
      </c>
      <c r="B2452">
        <v>3209</v>
      </c>
      <c r="C2452">
        <v>2002</v>
      </c>
      <c r="D2452" s="7">
        <v>46211</v>
      </c>
      <c r="E2452" t="s">
        <v>204</v>
      </c>
      <c r="F2452" t="s">
        <v>202</v>
      </c>
      <c r="G2452">
        <v>60</v>
      </c>
      <c r="H2452" s="7"/>
      <c r="I2452" t="s">
        <v>203</v>
      </c>
    </row>
    <row r="2453" spans="1:9">
      <c r="A2453">
        <v>52452</v>
      </c>
      <c r="B2453">
        <v>3209</v>
      </c>
      <c r="C2453">
        <v>2002</v>
      </c>
      <c r="D2453" s="7">
        <v>46212</v>
      </c>
      <c r="E2453" t="s">
        <v>212</v>
      </c>
      <c r="F2453" t="s">
        <v>205</v>
      </c>
      <c r="H2453" s="7"/>
      <c r="I2453" t="s">
        <v>211</v>
      </c>
    </row>
    <row r="2454" spans="1:9">
      <c r="A2454">
        <v>52453</v>
      </c>
      <c r="B2454">
        <v>3209</v>
      </c>
      <c r="C2454">
        <v>2002</v>
      </c>
      <c r="D2454" s="7">
        <v>46213</v>
      </c>
      <c r="E2454" t="s">
        <v>210</v>
      </c>
      <c r="F2454" t="s">
        <v>205</v>
      </c>
      <c r="H2454" s="7"/>
      <c r="I2454" t="s">
        <v>207</v>
      </c>
    </row>
    <row r="2455" spans="1:9">
      <c r="A2455">
        <v>52454</v>
      </c>
      <c r="B2455">
        <v>3210</v>
      </c>
      <c r="C2455">
        <v>2007</v>
      </c>
      <c r="D2455" s="7">
        <v>46076</v>
      </c>
      <c r="E2455" t="s">
        <v>201</v>
      </c>
      <c r="F2455" t="s">
        <v>205</v>
      </c>
      <c r="H2455" s="7"/>
      <c r="I2455" t="s">
        <v>209</v>
      </c>
    </row>
    <row r="2456" spans="1:9">
      <c r="A2456">
        <v>52455</v>
      </c>
      <c r="B2456">
        <v>3210</v>
      </c>
      <c r="C2456">
        <v>2007</v>
      </c>
      <c r="D2456" s="7">
        <v>46092</v>
      </c>
      <c r="E2456" t="s">
        <v>219</v>
      </c>
      <c r="F2456" t="s">
        <v>202</v>
      </c>
      <c r="G2456">
        <v>60</v>
      </c>
      <c r="H2456" s="7">
        <v>46106</v>
      </c>
      <c r="I2456" t="s">
        <v>217</v>
      </c>
    </row>
    <row r="2457" spans="1:9">
      <c r="A2457">
        <v>52456</v>
      </c>
      <c r="B2457">
        <v>3210</v>
      </c>
      <c r="C2457">
        <v>2007</v>
      </c>
      <c r="D2457" s="7">
        <v>46125</v>
      </c>
      <c r="E2457" t="s">
        <v>208</v>
      </c>
      <c r="F2457" t="s">
        <v>202</v>
      </c>
      <c r="G2457">
        <v>15</v>
      </c>
      <c r="H2457" s="7">
        <v>46146</v>
      </c>
      <c r="I2457" t="s">
        <v>207</v>
      </c>
    </row>
    <row r="2458" spans="1:9">
      <c r="A2458">
        <v>52457</v>
      </c>
      <c r="B2458">
        <v>3210</v>
      </c>
      <c r="C2458">
        <v>2007</v>
      </c>
      <c r="D2458" s="7">
        <v>46126</v>
      </c>
      <c r="E2458" t="s">
        <v>204</v>
      </c>
      <c r="F2458" t="s">
        <v>202</v>
      </c>
      <c r="G2458">
        <v>45</v>
      </c>
      <c r="H2458" s="7">
        <v>46147</v>
      </c>
      <c r="I2458" t="s">
        <v>206</v>
      </c>
    </row>
    <row r="2459" spans="1:9">
      <c r="A2459">
        <v>52458</v>
      </c>
      <c r="B2459">
        <v>3210</v>
      </c>
      <c r="C2459">
        <v>2007</v>
      </c>
      <c r="D2459" s="7">
        <v>46126</v>
      </c>
      <c r="E2459" t="s">
        <v>208</v>
      </c>
      <c r="F2459" t="s">
        <v>202</v>
      </c>
      <c r="G2459">
        <v>20</v>
      </c>
      <c r="H2459" s="7">
        <v>46140</v>
      </c>
      <c r="I2459" t="s">
        <v>206</v>
      </c>
    </row>
    <row r="2460" spans="1:9">
      <c r="A2460">
        <v>52459</v>
      </c>
      <c r="B2460">
        <v>3210</v>
      </c>
      <c r="C2460">
        <v>2007</v>
      </c>
      <c r="D2460" s="7">
        <v>46150</v>
      </c>
      <c r="E2460" t="s">
        <v>219</v>
      </c>
      <c r="F2460" t="s">
        <v>214</v>
      </c>
      <c r="H2460" s="7">
        <v>46164</v>
      </c>
      <c r="I2460" t="s">
        <v>206</v>
      </c>
    </row>
    <row r="2461" spans="1:9">
      <c r="A2461">
        <v>52460</v>
      </c>
      <c r="B2461">
        <v>3210</v>
      </c>
      <c r="C2461">
        <v>2007</v>
      </c>
      <c r="D2461" s="7">
        <v>46151</v>
      </c>
      <c r="E2461" t="s">
        <v>212</v>
      </c>
      <c r="F2461" t="s">
        <v>214</v>
      </c>
      <c r="H2461" s="7">
        <v>46172</v>
      </c>
      <c r="I2461" t="s">
        <v>217</v>
      </c>
    </row>
    <row r="2462" spans="1:9">
      <c r="A2462">
        <v>52461</v>
      </c>
      <c r="B2462">
        <v>3210</v>
      </c>
      <c r="C2462">
        <v>2007</v>
      </c>
      <c r="D2462" s="7">
        <v>46155</v>
      </c>
      <c r="E2462" t="s">
        <v>204</v>
      </c>
      <c r="F2462" t="s">
        <v>202</v>
      </c>
      <c r="G2462">
        <v>20</v>
      </c>
      <c r="H2462" s="7">
        <v>46162</v>
      </c>
      <c r="I2462" t="s">
        <v>216</v>
      </c>
    </row>
    <row r="2463" spans="1:9">
      <c r="A2463">
        <v>52462</v>
      </c>
      <c r="B2463">
        <v>3210</v>
      </c>
      <c r="C2463">
        <v>2007</v>
      </c>
      <c r="D2463" s="7">
        <v>46156</v>
      </c>
      <c r="E2463" t="s">
        <v>208</v>
      </c>
      <c r="F2463" t="s">
        <v>202</v>
      </c>
      <c r="G2463">
        <v>90</v>
      </c>
      <c r="H2463" s="7">
        <v>46163</v>
      </c>
      <c r="I2463" t="s">
        <v>206</v>
      </c>
    </row>
    <row r="2464" spans="1:9">
      <c r="A2464">
        <v>52463</v>
      </c>
      <c r="B2464">
        <v>3210</v>
      </c>
      <c r="C2464">
        <v>2007</v>
      </c>
      <c r="D2464" s="7">
        <v>46160</v>
      </c>
      <c r="E2464" t="s">
        <v>212</v>
      </c>
      <c r="F2464" t="s">
        <v>202</v>
      </c>
      <c r="G2464">
        <v>30</v>
      </c>
      <c r="H2464" s="7">
        <v>46190</v>
      </c>
      <c r="I2464" t="s">
        <v>209</v>
      </c>
    </row>
    <row r="2465" spans="1:9">
      <c r="A2465">
        <v>52464</v>
      </c>
      <c r="B2465">
        <v>3210</v>
      </c>
      <c r="C2465">
        <v>2007</v>
      </c>
      <c r="D2465" s="7">
        <v>46162</v>
      </c>
      <c r="E2465" t="s">
        <v>201</v>
      </c>
      <c r="F2465" t="s">
        <v>205</v>
      </c>
      <c r="H2465" s="7"/>
      <c r="I2465" t="s">
        <v>209</v>
      </c>
    </row>
    <row r="2466" spans="1:9">
      <c r="A2466">
        <v>52465</v>
      </c>
      <c r="B2466">
        <v>3210</v>
      </c>
      <c r="C2466">
        <v>2007</v>
      </c>
      <c r="D2466" s="7">
        <v>46183</v>
      </c>
      <c r="E2466" t="s">
        <v>219</v>
      </c>
      <c r="F2466" t="s">
        <v>202</v>
      </c>
      <c r="G2466">
        <v>90</v>
      </c>
      <c r="H2466" s="7">
        <v>46204</v>
      </c>
      <c r="I2466" t="s">
        <v>217</v>
      </c>
    </row>
    <row r="2467" spans="1:9">
      <c r="A2467">
        <v>52466</v>
      </c>
      <c r="B2467">
        <v>3210</v>
      </c>
      <c r="C2467">
        <v>2007</v>
      </c>
      <c r="D2467" s="7">
        <v>46186</v>
      </c>
      <c r="E2467" t="s">
        <v>210</v>
      </c>
      <c r="F2467" t="s">
        <v>218</v>
      </c>
      <c r="H2467" s="7"/>
      <c r="I2467" t="s">
        <v>207</v>
      </c>
    </row>
    <row r="2468" spans="1:9">
      <c r="A2468">
        <v>52467</v>
      </c>
      <c r="B2468">
        <v>3210</v>
      </c>
      <c r="C2468">
        <v>2007</v>
      </c>
      <c r="D2468" s="7">
        <v>46189</v>
      </c>
      <c r="E2468" t="s">
        <v>201</v>
      </c>
      <c r="F2468" t="s">
        <v>215</v>
      </c>
      <c r="G2468">
        <v>20</v>
      </c>
      <c r="H2468" s="7">
        <v>46196</v>
      </c>
      <c r="I2468" t="s">
        <v>216</v>
      </c>
    </row>
    <row r="2469" spans="1:9">
      <c r="A2469">
        <v>52468</v>
      </c>
      <c r="B2469">
        <v>3210</v>
      </c>
      <c r="C2469">
        <v>2007</v>
      </c>
      <c r="D2469" s="7">
        <v>46194</v>
      </c>
      <c r="E2469" t="s">
        <v>212</v>
      </c>
      <c r="F2469" t="s">
        <v>202</v>
      </c>
      <c r="G2469">
        <v>45</v>
      </c>
      <c r="H2469" s="7">
        <v>46201</v>
      </c>
      <c r="I2469" t="s">
        <v>203</v>
      </c>
    </row>
    <row r="2470" spans="1:9">
      <c r="A2470">
        <v>52469</v>
      </c>
      <c r="B2470">
        <v>3210</v>
      </c>
      <c r="C2470">
        <v>2007</v>
      </c>
      <c r="D2470" s="7">
        <v>46202</v>
      </c>
      <c r="E2470" t="s">
        <v>219</v>
      </c>
      <c r="F2470" t="s">
        <v>202</v>
      </c>
      <c r="G2470">
        <v>90</v>
      </c>
      <c r="H2470" s="7"/>
      <c r="I2470" t="s">
        <v>217</v>
      </c>
    </row>
    <row r="2471" spans="1:9">
      <c r="A2471">
        <v>52470</v>
      </c>
      <c r="B2471">
        <v>3210</v>
      </c>
      <c r="C2471">
        <v>2007</v>
      </c>
      <c r="D2471" s="7">
        <v>46211</v>
      </c>
      <c r="E2471" t="s">
        <v>210</v>
      </c>
      <c r="F2471" t="s">
        <v>214</v>
      </c>
      <c r="H2471" s="7"/>
      <c r="I2471" t="s">
        <v>206</v>
      </c>
    </row>
    <row r="2472" spans="1:9">
      <c r="A2472">
        <v>52471</v>
      </c>
      <c r="B2472">
        <v>3211</v>
      </c>
      <c r="C2472">
        <v>2011</v>
      </c>
      <c r="D2472" s="7">
        <v>45743</v>
      </c>
      <c r="E2472" t="s">
        <v>212</v>
      </c>
      <c r="F2472" t="s">
        <v>202</v>
      </c>
      <c r="G2472">
        <v>90</v>
      </c>
      <c r="H2472" s="7">
        <v>45764</v>
      </c>
      <c r="I2472" t="s">
        <v>216</v>
      </c>
    </row>
    <row r="2473" spans="1:9">
      <c r="A2473">
        <v>52472</v>
      </c>
      <c r="B2473">
        <v>3211</v>
      </c>
      <c r="C2473">
        <v>2011</v>
      </c>
      <c r="D2473" s="7">
        <v>45832</v>
      </c>
      <c r="E2473" t="s">
        <v>201</v>
      </c>
      <c r="F2473" t="s">
        <v>202</v>
      </c>
      <c r="G2473">
        <v>15</v>
      </c>
      <c r="H2473" s="7">
        <v>45846</v>
      </c>
      <c r="I2473" t="s">
        <v>207</v>
      </c>
    </row>
    <row r="2474" spans="1:9">
      <c r="A2474">
        <v>52473</v>
      </c>
      <c r="B2474">
        <v>3211</v>
      </c>
      <c r="C2474">
        <v>2011</v>
      </c>
      <c r="D2474" s="7">
        <v>45837</v>
      </c>
      <c r="E2474" t="s">
        <v>212</v>
      </c>
      <c r="F2474" t="s">
        <v>213</v>
      </c>
      <c r="H2474" s="7">
        <v>45858</v>
      </c>
      <c r="I2474" t="s">
        <v>207</v>
      </c>
    </row>
    <row r="2475" spans="1:9">
      <c r="A2475">
        <v>52474</v>
      </c>
      <c r="B2475">
        <v>3211</v>
      </c>
      <c r="C2475">
        <v>2011</v>
      </c>
      <c r="D2475" s="7">
        <v>45849</v>
      </c>
      <c r="E2475" t="s">
        <v>208</v>
      </c>
      <c r="F2475" t="s">
        <v>214</v>
      </c>
      <c r="H2475" s="7">
        <v>45879</v>
      </c>
      <c r="I2475" t="s">
        <v>206</v>
      </c>
    </row>
    <row r="2476" spans="1:9">
      <c r="A2476">
        <v>52475</v>
      </c>
      <c r="B2476">
        <v>3211</v>
      </c>
      <c r="C2476">
        <v>2011</v>
      </c>
      <c r="D2476" s="7">
        <v>45872</v>
      </c>
      <c r="E2476" t="s">
        <v>219</v>
      </c>
      <c r="F2476" t="s">
        <v>202</v>
      </c>
      <c r="G2476">
        <v>30</v>
      </c>
      <c r="H2476" s="7">
        <v>45893</v>
      </c>
      <c r="I2476" t="s">
        <v>209</v>
      </c>
    </row>
    <row r="2477" spans="1:9">
      <c r="A2477">
        <v>52476</v>
      </c>
      <c r="B2477">
        <v>3211</v>
      </c>
      <c r="C2477">
        <v>2011</v>
      </c>
      <c r="D2477" s="7">
        <v>45904</v>
      </c>
      <c r="E2477" t="s">
        <v>201</v>
      </c>
      <c r="F2477" t="s">
        <v>214</v>
      </c>
      <c r="H2477" s="7">
        <v>45911</v>
      </c>
      <c r="I2477" t="s">
        <v>209</v>
      </c>
    </row>
    <row r="2478" spans="1:9">
      <c r="A2478">
        <v>52477</v>
      </c>
      <c r="B2478">
        <v>3211</v>
      </c>
      <c r="C2478">
        <v>2011</v>
      </c>
      <c r="D2478" s="7">
        <v>45922</v>
      </c>
      <c r="E2478" t="s">
        <v>201</v>
      </c>
      <c r="F2478" t="s">
        <v>202</v>
      </c>
      <c r="G2478">
        <v>10</v>
      </c>
      <c r="H2478" s="7">
        <v>45943</v>
      </c>
      <c r="I2478" t="s">
        <v>203</v>
      </c>
    </row>
    <row r="2479" spans="1:9">
      <c r="A2479">
        <v>52478</v>
      </c>
      <c r="B2479">
        <v>3211</v>
      </c>
      <c r="C2479">
        <v>2011</v>
      </c>
      <c r="D2479" s="7">
        <v>45936</v>
      </c>
      <c r="E2479" t="s">
        <v>212</v>
      </c>
      <c r="F2479" t="s">
        <v>202</v>
      </c>
      <c r="G2479">
        <v>20</v>
      </c>
      <c r="H2479" s="7">
        <v>45943</v>
      </c>
      <c r="I2479" t="s">
        <v>217</v>
      </c>
    </row>
    <row r="2480" spans="1:9">
      <c r="A2480">
        <v>52479</v>
      </c>
      <c r="B2480">
        <v>3211</v>
      </c>
      <c r="C2480">
        <v>2011</v>
      </c>
      <c r="D2480" s="7">
        <v>45957</v>
      </c>
      <c r="E2480" t="s">
        <v>208</v>
      </c>
      <c r="F2480" t="s">
        <v>218</v>
      </c>
      <c r="H2480" s="7"/>
      <c r="I2480" t="s">
        <v>203</v>
      </c>
    </row>
    <row r="2481" spans="1:9">
      <c r="A2481">
        <v>52480</v>
      </c>
      <c r="B2481">
        <v>3211</v>
      </c>
      <c r="C2481">
        <v>2011</v>
      </c>
      <c r="D2481" s="7">
        <v>45993</v>
      </c>
      <c r="E2481" t="s">
        <v>201</v>
      </c>
      <c r="F2481" t="s">
        <v>202</v>
      </c>
      <c r="G2481">
        <v>90</v>
      </c>
      <c r="H2481" s="7">
        <v>46000</v>
      </c>
      <c r="I2481" t="s">
        <v>209</v>
      </c>
    </row>
    <row r="2482" spans="1:9">
      <c r="A2482">
        <v>52481</v>
      </c>
      <c r="B2482">
        <v>3211</v>
      </c>
      <c r="C2482">
        <v>2011</v>
      </c>
      <c r="D2482" s="7">
        <v>46089</v>
      </c>
      <c r="E2482" t="s">
        <v>204</v>
      </c>
      <c r="F2482" t="s">
        <v>218</v>
      </c>
      <c r="H2482" s="7"/>
      <c r="I2482" t="s">
        <v>211</v>
      </c>
    </row>
    <row r="2483" spans="1:9">
      <c r="A2483">
        <v>52482</v>
      </c>
      <c r="B2483">
        <v>3211</v>
      </c>
      <c r="C2483">
        <v>2011</v>
      </c>
      <c r="D2483" s="7">
        <v>46112</v>
      </c>
      <c r="E2483" t="s">
        <v>204</v>
      </c>
      <c r="F2483" t="s">
        <v>205</v>
      </c>
      <c r="H2483" s="7"/>
      <c r="I2483" t="s">
        <v>217</v>
      </c>
    </row>
    <row r="2484" spans="1:9">
      <c r="A2484">
        <v>52483</v>
      </c>
      <c r="B2484">
        <v>3211</v>
      </c>
      <c r="C2484">
        <v>2011</v>
      </c>
      <c r="D2484" s="7">
        <v>46144</v>
      </c>
      <c r="E2484" t="s">
        <v>204</v>
      </c>
      <c r="F2484" t="s">
        <v>202</v>
      </c>
      <c r="G2484">
        <v>30</v>
      </c>
      <c r="H2484" s="7">
        <v>46158</v>
      </c>
      <c r="I2484" t="s">
        <v>206</v>
      </c>
    </row>
    <row r="2485" spans="1:9">
      <c r="A2485">
        <v>52484</v>
      </c>
      <c r="B2485">
        <v>3211</v>
      </c>
      <c r="C2485">
        <v>2011</v>
      </c>
      <c r="D2485" s="7">
        <v>46173</v>
      </c>
      <c r="E2485" t="s">
        <v>212</v>
      </c>
      <c r="F2485" t="s">
        <v>202</v>
      </c>
      <c r="G2485">
        <v>10</v>
      </c>
      <c r="H2485" s="7">
        <v>46180</v>
      </c>
      <c r="I2485" t="s">
        <v>207</v>
      </c>
    </row>
    <row r="2486" spans="1:9">
      <c r="A2486">
        <v>52485</v>
      </c>
      <c r="B2486">
        <v>3211</v>
      </c>
      <c r="C2486">
        <v>2011</v>
      </c>
      <c r="D2486" s="7">
        <v>46186</v>
      </c>
      <c r="E2486" t="s">
        <v>212</v>
      </c>
      <c r="F2486" t="s">
        <v>213</v>
      </c>
      <c r="H2486" s="7"/>
      <c r="I2486" t="s">
        <v>206</v>
      </c>
    </row>
    <row r="2487" spans="1:9">
      <c r="A2487">
        <v>52486</v>
      </c>
      <c r="B2487">
        <v>3211</v>
      </c>
      <c r="C2487">
        <v>2011</v>
      </c>
      <c r="D2487" s="7">
        <v>46196</v>
      </c>
      <c r="E2487" t="s">
        <v>204</v>
      </c>
      <c r="F2487" t="s">
        <v>202</v>
      </c>
      <c r="G2487">
        <v>30</v>
      </c>
      <c r="H2487" s="7"/>
      <c r="I2487" t="s">
        <v>206</v>
      </c>
    </row>
    <row r="2488" spans="1:9">
      <c r="A2488">
        <v>52487</v>
      </c>
      <c r="B2488">
        <v>3211</v>
      </c>
      <c r="C2488">
        <v>2011</v>
      </c>
      <c r="D2488" s="7">
        <v>46205</v>
      </c>
      <c r="E2488" t="s">
        <v>212</v>
      </c>
      <c r="F2488" t="s">
        <v>205</v>
      </c>
      <c r="H2488" s="7"/>
      <c r="I2488" t="s">
        <v>209</v>
      </c>
    </row>
    <row r="2489" spans="1:9">
      <c r="A2489">
        <v>52488</v>
      </c>
      <c r="B2489">
        <v>3211</v>
      </c>
      <c r="C2489">
        <v>2011</v>
      </c>
      <c r="D2489" s="7">
        <v>46212</v>
      </c>
      <c r="E2489" t="s">
        <v>219</v>
      </c>
      <c r="F2489" t="s">
        <v>218</v>
      </c>
      <c r="H2489" s="7"/>
      <c r="I2489" t="s">
        <v>206</v>
      </c>
    </row>
    <row r="2490" spans="1:9">
      <c r="A2490">
        <v>52489</v>
      </c>
      <c r="B2490">
        <v>3212</v>
      </c>
      <c r="C2490">
        <v>2014</v>
      </c>
      <c r="D2490" s="7">
        <v>46191</v>
      </c>
      <c r="E2490" t="s">
        <v>210</v>
      </c>
      <c r="F2490" t="s">
        <v>214</v>
      </c>
      <c r="H2490" s="7">
        <v>46194</v>
      </c>
      <c r="I2490" t="s">
        <v>203</v>
      </c>
    </row>
    <row r="2491" spans="1:9">
      <c r="A2491">
        <v>52490</v>
      </c>
      <c r="B2491">
        <v>3212</v>
      </c>
      <c r="C2491">
        <v>2014</v>
      </c>
      <c r="D2491" s="7">
        <v>46193</v>
      </c>
      <c r="E2491" t="s">
        <v>208</v>
      </c>
      <c r="F2491" t="s">
        <v>202</v>
      </c>
      <c r="G2491">
        <v>15</v>
      </c>
      <c r="H2491" s="7">
        <v>46200</v>
      </c>
      <c r="I2491" t="s">
        <v>209</v>
      </c>
    </row>
    <row r="2492" spans="1:9">
      <c r="A2492">
        <v>52491</v>
      </c>
      <c r="B2492">
        <v>3212</v>
      </c>
      <c r="C2492">
        <v>2014</v>
      </c>
      <c r="D2492" s="7">
        <v>46194</v>
      </c>
      <c r="E2492" t="s">
        <v>201</v>
      </c>
      <c r="F2492" t="s">
        <v>202</v>
      </c>
      <c r="G2492">
        <v>90</v>
      </c>
      <c r="H2492" s="7">
        <v>46197</v>
      </c>
      <c r="I2492" t="s">
        <v>206</v>
      </c>
    </row>
    <row r="2493" spans="1:9">
      <c r="A2493">
        <v>52492</v>
      </c>
      <c r="B2493">
        <v>3212</v>
      </c>
      <c r="C2493">
        <v>2014</v>
      </c>
      <c r="D2493" s="7">
        <v>46196</v>
      </c>
      <c r="E2493" t="s">
        <v>212</v>
      </c>
      <c r="F2493" t="s">
        <v>213</v>
      </c>
      <c r="H2493" s="7">
        <v>46199</v>
      </c>
      <c r="I2493" t="s">
        <v>206</v>
      </c>
    </row>
    <row r="2494" spans="1:9">
      <c r="A2494">
        <v>52493</v>
      </c>
      <c r="B2494">
        <v>3212</v>
      </c>
      <c r="C2494">
        <v>2014</v>
      </c>
      <c r="D2494" s="7">
        <v>46196</v>
      </c>
      <c r="E2494" t="s">
        <v>212</v>
      </c>
      <c r="F2494" t="s">
        <v>202</v>
      </c>
      <c r="G2494">
        <v>90</v>
      </c>
      <c r="H2494" s="7">
        <v>46203</v>
      </c>
      <c r="I2494" t="s">
        <v>206</v>
      </c>
    </row>
    <row r="2495" spans="1:9">
      <c r="A2495">
        <v>52494</v>
      </c>
      <c r="B2495">
        <v>3212</v>
      </c>
      <c r="C2495">
        <v>2014</v>
      </c>
      <c r="D2495" s="7">
        <v>46198</v>
      </c>
      <c r="E2495" t="s">
        <v>210</v>
      </c>
      <c r="F2495" t="s">
        <v>214</v>
      </c>
      <c r="H2495" s="7"/>
      <c r="I2495" t="s">
        <v>206</v>
      </c>
    </row>
    <row r="2496" spans="1:9">
      <c r="A2496">
        <v>52495</v>
      </c>
      <c r="B2496">
        <v>3212</v>
      </c>
      <c r="C2496">
        <v>2014</v>
      </c>
      <c r="D2496" s="7">
        <v>46202</v>
      </c>
      <c r="E2496" t="s">
        <v>219</v>
      </c>
      <c r="F2496" t="s">
        <v>214</v>
      </c>
      <c r="H2496" s="7"/>
      <c r="I2496" t="s">
        <v>207</v>
      </c>
    </row>
    <row r="2497" spans="1:9">
      <c r="A2497">
        <v>52496</v>
      </c>
      <c r="B2497">
        <v>3212</v>
      </c>
      <c r="C2497">
        <v>2014</v>
      </c>
      <c r="D2497" s="7">
        <v>46205</v>
      </c>
      <c r="E2497" t="s">
        <v>210</v>
      </c>
      <c r="F2497" t="s">
        <v>202</v>
      </c>
      <c r="G2497">
        <v>15</v>
      </c>
      <c r="H2497" s="7"/>
      <c r="I2497" t="s">
        <v>207</v>
      </c>
    </row>
    <row r="2498" spans="1:9">
      <c r="A2498">
        <v>52497</v>
      </c>
      <c r="B2498">
        <v>3212</v>
      </c>
      <c r="C2498">
        <v>2014</v>
      </c>
      <c r="D2498" s="7">
        <v>46205</v>
      </c>
      <c r="E2498" t="s">
        <v>210</v>
      </c>
      <c r="F2498" t="s">
        <v>214</v>
      </c>
      <c r="H2498" s="7"/>
      <c r="I2498" t="s">
        <v>209</v>
      </c>
    </row>
    <row r="2499" spans="1:9">
      <c r="A2499">
        <v>52498</v>
      </c>
      <c r="B2499">
        <v>3212</v>
      </c>
      <c r="C2499">
        <v>2014</v>
      </c>
      <c r="D2499" s="7">
        <v>46205</v>
      </c>
      <c r="E2499" t="s">
        <v>210</v>
      </c>
      <c r="F2499" t="s">
        <v>218</v>
      </c>
      <c r="H2499" s="7"/>
      <c r="I2499" t="s">
        <v>209</v>
      </c>
    </row>
    <row r="2500" spans="1:9">
      <c r="A2500">
        <v>52499</v>
      </c>
      <c r="B2500">
        <v>3212</v>
      </c>
      <c r="C2500">
        <v>2014</v>
      </c>
      <c r="D2500" s="7">
        <v>46207</v>
      </c>
      <c r="E2500" t="s">
        <v>219</v>
      </c>
      <c r="F2500" t="s">
        <v>213</v>
      </c>
      <c r="H2500" s="7">
        <v>46210</v>
      </c>
      <c r="I2500" t="s">
        <v>206</v>
      </c>
    </row>
    <row r="2501" spans="1:9">
      <c r="A2501">
        <v>52500</v>
      </c>
      <c r="B2501">
        <v>3212</v>
      </c>
      <c r="C2501">
        <v>2014</v>
      </c>
      <c r="D2501" s="7">
        <v>46208</v>
      </c>
      <c r="E2501" t="s">
        <v>208</v>
      </c>
      <c r="F2501" t="s">
        <v>202</v>
      </c>
      <c r="G2501">
        <v>20</v>
      </c>
      <c r="H2501" s="7"/>
      <c r="I2501" t="s">
        <v>217</v>
      </c>
    </row>
    <row r="2502" spans="1:9">
      <c r="A2502">
        <v>52501</v>
      </c>
      <c r="B2502">
        <v>3212</v>
      </c>
      <c r="C2502">
        <v>2014</v>
      </c>
      <c r="D2502" s="7">
        <v>46209</v>
      </c>
      <c r="E2502" t="s">
        <v>219</v>
      </c>
      <c r="F2502" t="s">
        <v>214</v>
      </c>
      <c r="H2502" s="7"/>
      <c r="I2502" t="s">
        <v>217</v>
      </c>
    </row>
    <row r="2503" spans="1:9">
      <c r="A2503">
        <v>52502</v>
      </c>
      <c r="B2503">
        <v>3212</v>
      </c>
      <c r="C2503">
        <v>2014</v>
      </c>
      <c r="D2503" s="7">
        <v>46209</v>
      </c>
      <c r="E2503" t="s">
        <v>201</v>
      </c>
      <c r="F2503" t="s">
        <v>214</v>
      </c>
      <c r="H2503" s="7"/>
      <c r="I2503" t="s">
        <v>207</v>
      </c>
    </row>
    <row r="2504" spans="1:9">
      <c r="A2504">
        <v>52503</v>
      </c>
      <c r="B2504">
        <v>3212</v>
      </c>
      <c r="C2504">
        <v>2014</v>
      </c>
      <c r="D2504" s="7">
        <v>46210</v>
      </c>
      <c r="E2504" t="s">
        <v>212</v>
      </c>
      <c r="F2504" t="s">
        <v>205</v>
      </c>
      <c r="H2504" s="7"/>
      <c r="I2504" t="s">
        <v>216</v>
      </c>
    </row>
    <row r="2505" spans="1:9">
      <c r="A2505">
        <v>52504</v>
      </c>
      <c r="B2505">
        <v>3212</v>
      </c>
      <c r="C2505">
        <v>2014</v>
      </c>
      <c r="D2505" s="7">
        <v>46210</v>
      </c>
      <c r="E2505" t="s">
        <v>212</v>
      </c>
      <c r="F2505" t="s">
        <v>205</v>
      </c>
      <c r="H2505" s="7"/>
      <c r="I2505" t="s">
        <v>206</v>
      </c>
    </row>
    <row r="2506" spans="1:9">
      <c r="A2506">
        <v>52505</v>
      </c>
      <c r="B2506">
        <v>3212</v>
      </c>
      <c r="C2506">
        <v>2014</v>
      </c>
      <c r="D2506" s="7">
        <v>46211</v>
      </c>
      <c r="E2506" t="s">
        <v>210</v>
      </c>
      <c r="F2506" t="s">
        <v>214</v>
      </c>
      <c r="H2506" s="7"/>
      <c r="I2506" t="s">
        <v>206</v>
      </c>
    </row>
    <row r="2507" spans="1:9">
      <c r="A2507">
        <v>52506</v>
      </c>
      <c r="B2507">
        <v>3212</v>
      </c>
      <c r="C2507">
        <v>2014</v>
      </c>
      <c r="D2507" s="7">
        <v>46213</v>
      </c>
      <c r="E2507" t="s">
        <v>219</v>
      </c>
      <c r="F2507" t="s">
        <v>202</v>
      </c>
      <c r="G2507">
        <v>45</v>
      </c>
      <c r="H2507" s="7"/>
      <c r="I2507" t="s">
        <v>206</v>
      </c>
    </row>
    <row r="2508" spans="1:9">
      <c r="A2508">
        <v>52507</v>
      </c>
      <c r="B2508">
        <v>3212</v>
      </c>
      <c r="C2508">
        <v>2014</v>
      </c>
      <c r="D2508" s="7">
        <v>46213</v>
      </c>
      <c r="E2508" t="s">
        <v>210</v>
      </c>
      <c r="F2508" t="s">
        <v>214</v>
      </c>
      <c r="H2508" s="7"/>
      <c r="I2508" t="s">
        <v>217</v>
      </c>
    </row>
    <row r="2509" spans="1:9">
      <c r="A2509">
        <v>52508</v>
      </c>
      <c r="B2509">
        <v>3213</v>
      </c>
      <c r="C2509">
        <v>2015</v>
      </c>
      <c r="D2509" s="7">
        <v>45194</v>
      </c>
      <c r="E2509" t="s">
        <v>210</v>
      </c>
      <c r="F2509" t="s">
        <v>214</v>
      </c>
      <c r="H2509" s="7">
        <v>45208</v>
      </c>
      <c r="I2509" t="s">
        <v>211</v>
      </c>
    </row>
    <row r="2510" spans="1:9">
      <c r="A2510">
        <v>52509</v>
      </c>
      <c r="B2510">
        <v>3213</v>
      </c>
      <c r="C2510">
        <v>2015</v>
      </c>
      <c r="D2510" s="7">
        <v>45287</v>
      </c>
      <c r="E2510" t="s">
        <v>201</v>
      </c>
      <c r="F2510" t="s">
        <v>202</v>
      </c>
      <c r="G2510">
        <v>15</v>
      </c>
      <c r="H2510" s="7">
        <v>45290</v>
      </c>
      <c r="I2510" t="s">
        <v>203</v>
      </c>
    </row>
    <row r="2511" spans="1:9">
      <c r="A2511">
        <v>52510</v>
      </c>
      <c r="B2511">
        <v>3213</v>
      </c>
      <c r="C2511">
        <v>2015</v>
      </c>
      <c r="D2511" s="7">
        <v>45315</v>
      </c>
      <c r="E2511" t="s">
        <v>210</v>
      </c>
      <c r="F2511" t="s">
        <v>214</v>
      </c>
      <c r="H2511" s="7">
        <v>45322</v>
      </c>
      <c r="I2511" t="s">
        <v>203</v>
      </c>
    </row>
    <row r="2512" spans="1:9">
      <c r="A2512">
        <v>52511</v>
      </c>
      <c r="B2512">
        <v>3213</v>
      </c>
      <c r="C2512">
        <v>2015</v>
      </c>
      <c r="D2512" s="7">
        <v>45400</v>
      </c>
      <c r="E2512" t="s">
        <v>212</v>
      </c>
      <c r="F2512" t="s">
        <v>202</v>
      </c>
      <c r="G2512">
        <v>15</v>
      </c>
      <c r="H2512" s="7">
        <v>45430</v>
      </c>
      <c r="I2512" t="s">
        <v>209</v>
      </c>
    </row>
    <row r="2513" spans="1:9">
      <c r="A2513">
        <v>52512</v>
      </c>
      <c r="B2513">
        <v>3213</v>
      </c>
      <c r="C2513">
        <v>2015</v>
      </c>
      <c r="D2513" s="7">
        <v>45468</v>
      </c>
      <c r="E2513" t="s">
        <v>204</v>
      </c>
      <c r="F2513" t="s">
        <v>202</v>
      </c>
      <c r="G2513">
        <v>10</v>
      </c>
      <c r="H2513" s="7">
        <v>45498</v>
      </c>
      <c r="I2513" t="s">
        <v>217</v>
      </c>
    </row>
    <row r="2514" spans="1:9">
      <c r="A2514">
        <v>52513</v>
      </c>
      <c r="B2514">
        <v>3213</v>
      </c>
      <c r="C2514">
        <v>2015</v>
      </c>
      <c r="D2514" s="7">
        <v>45506</v>
      </c>
      <c r="E2514" t="s">
        <v>201</v>
      </c>
      <c r="F2514" t="s">
        <v>214</v>
      </c>
      <c r="H2514" s="7">
        <v>45509</v>
      </c>
      <c r="I2514" t="s">
        <v>217</v>
      </c>
    </row>
    <row r="2515" spans="1:9">
      <c r="A2515">
        <v>52514</v>
      </c>
      <c r="B2515">
        <v>3213</v>
      </c>
      <c r="C2515">
        <v>2015</v>
      </c>
      <c r="D2515" s="7">
        <v>45520</v>
      </c>
      <c r="E2515" t="s">
        <v>219</v>
      </c>
      <c r="F2515" t="s">
        <v>205</v>
      </c>
      <c r="H2515" s="7"/>
      <c r="I2515" t="s">
        <v>207</v>
      </c>
    </row>
    <row r="2516" spans="1:9">
      <c r="A2516">
        <v>52515</v>
      </c>
      <c r="B2516">
        <v>3213</v>
      </c>
      <c r="C2516">
        <v>2015</v>
      </c>
      <c r="D2516" s="7">
        <v>45569</v>
      </c>
      <c r="E2516" t="s">
        <v>208</v>
      </c>
      <c r="F2516" t="s">
        <v>215</v>
      </c>
      <c r="G2516">
        <v>15</v>
      </c>
      <c r="H2516" s="7">
        <v>45599</v>
      </c>
      <c r="I2516" t="s">
        <v>207</v>
      </c>
    </row>
    <row r="2517" spans="1:9">
      <c r="A2517">
        <v>52516</v>
      </c>
      <c r="B2517">
        <v>3213</v>
      </c>
      <c r="C2517">
        <v>2015</v>
      </c>
      <c r="D2517" s="7">
        <v>45675</v>
      </c>
      <c r="E2517" t="s">
        <v>212</v>
      </c>
      <c r="F2517" t="s">
        <v>202</v>
      </c>
      <c r="G2517">
        <v>45</v>
      </c>
      <c r="H2517" s="7">
        <v>45689</v>
      </c>
      <c r="I2517" t="s">
        <v>209</v>
      </c>
    </row>
    <row r="2518" spans="1:9">
      <c r="A2518">
        <v>52517</v>
      </c>
      <c r="B2518">
        <v>3213</v>
      </c>
      <c r="C2518">
        <v>2015</v>
      </c>
      <c r="D2518" s="7">
        <v>45682</v>
      </c>
      <c r="E2518" t="s">
        <v>212</v>
      </c>
      <c r="F2518" t="s">
        <v>202</v>
      </c>
      <c r="G2518">
        <v>15</v>
      </c>
      <c r="H2518" s="7">
        <v>45696</v>
      </c>
      <c r="I2518" t="s">
        <v>217</v>
      </c>
    </row>
    <row r="2519" spans="1:9">
      <c r="A2519">
        <v>52518</v>
      </c>
      <c r="B2519">
        <v>3213</v>
      </c>
      <c r="C2519">
        <v>2015</v>
      </c>
      <c r="D2519" s="7">
        <v>45738</v>
      </c>
      <c r="E2519" t="s">
        <v>210</v>
      </c>
      <c r="F2519" t="s">
        <v>213</v>
      </c>
      <c r="H2519" s="7">
        <v>45741</v>
      </c>
      <c r="I2519" t="s">
        <v>207</v>
      </c>
    </row>
    <row r="2520" spans="1:9">
      <c r="A2520">
        <v>52519</v>
      </c>
      <c r="B2520">
        <v>3213</v>
      </c>
      <c r="C2520">
        <v>2015</v>
      </c>
      <c r="D2520" s="7">
        <v>46039</v>
      </c>
      <c r="E2520" t="s">
        <v>212</v>
      </c>
      <c r="F2520" t="s">
        <v>205</v>
      </c>
      <c r="H2520" s="7"/>
      <c r="I2520" t="s">
        <v>217</v>
      </c>
    </row>
    <row r="2521" spans="1:9">
      <c r="A2521">
        <v>52520</v>
      </c>
      <c r="B2521">
        <v>3213</v>
      </c>
      <c r="C2521">
        <v>2015</v>
      </c>
      <c r="D2521" s="7">
        <v>46055</v>
      </c>
      <c r="E2521" t="s">
        <v>212</v>
      </c>
      <c r="F2521" t="s">
        <v>202</v>
      </c>
      <c r="G2521">
        <v>30</v>
      </c>
      <c r="H2521" s="7">
        <v>46058</v>
      </c>
      <c r="I2521" t="s">
        <v>207</v>
      </c>
    </row>
    <row r="2522" spans="1:9">
      <c r="A2522">
        <v>52521</v>
      </c>
      <c r="B2522">
        <v>3213</v>
      </c>
      <c r="C2522">
        <v>2015</v>
      </c>
      <c r="D2522" s="7">
        <v>46077</v>
      </c>
      <c r="E2522" t="s">
        <v>212</v>
      </c>
      <c r="F2522" t="s">
        <v>215</v>
      </c>
      <c r="G2522">
        <v>20</v>
      </c>
      <c r="H2522" s="7">
        <v>46107</v>
      </c>
      <c r="I2522" t="s">
        <v>209</v>
      </c>
    </row>
    <row r="2523" spans="1:9">
      <c r="A2523">
        <v>52522</v>
      </c>
      <c r="B2523">
        <v>3213</v>
      </c>
      <c r="C2523">
        <v>2015</v>
      </c>
      <c r="D2523" s="7">
        <v>46147</v>
      </c>
      <c r="E2523" t="s">
        <v>212</v>
      </c>
      <c r="F2523" t="s">
        <v>202</v>
      </c>
      <c r="G2523">
        <v>30</v>
      </c>
      <c r="H2523" s="7">
        <v>46161</v>
      </c>
      <c r="I2523" t="s">
        <v>217</v>
      </c>
    </row>
    <row r="2524" spans="1:9">
      <c r="A2524">
        <v>52523</v>
      </c>
      <c r="B2524">
        <v>3214</v>
      </c>
      <c r="C2524">
        <v>2011</v>
      </c>
      <c r="D2524" s="7">
        <v>45323</v>
      </c>
      <c r="E2524" t="s">
        <v>219</v>
      </c>
      <c r="F2524" t="s">
        <v>215</v>
      </c>
      <c r="G2524">
        <v>10</v>
      </c>
      <c r="H2524" s="7">
        <v>45326</v>
      </c>
      <c r="I2524" t="s">
        <v>217</v>
      </c>
    </row>
    <row r="2525" spans="1:9">
      <c r="A2525">
        <v>52524</v>
      </c>
      <c r="B2525">
        <v>3214</v>
      </c>
      <c r="C2525">
        <v>2011</v>
      </c>
      <c r="D2525" s="7">
        <v>45409</v>
      </c>
      <c r="E2525" t="s">
        <v>204</v>
      </c>
      <c r="F2525" t="s">
        <v>202</v>
      </c>
      <c r="G2525">
        <v>30</v>
      </c>
      <c r="H2525" s="7">
        <v>45423</v>
      </c>
      <c r="I2525" t="s">
        <v>217</v>
      </c>
    </row>
    <row r="2526" spans="1:9">
      <c r="A2526">
        <v>52525</v>
      </c>
      <c r="B2526">
        <v>3214</v>
      </c>
      <c r="C2526">
        <v>2011</v>
      </c>
      <c r="D2526" s="7">
        <v>45488</v>
      </c>
      <c r="E2526" t="s">
        <v>210</v>
      </c>
      <c r="F2526" t="s">
        <v>202</v>
      </c>
      <c r="G2526">
        <v>30</v>
      </c>
      <c r="H2526" s="7">
        <v>45491</v>
      </c>
      <c r="I2526" t="s">
        <v>206</v>
      </c>
    </row>
    <row r="2527" spans="1:9">
      <c r="A2527">
        <v>52526</v>
      </c>
      <c r="B2527">
        <v>3214</v>
      </c>
      <c r="C2527">
        <v>2011</v>
      </c>
      <c r="D2527" s="7">
        <v>45532</v>
      </c>
      <c r="E2527" t="s">
        <v>212</v>
      </c>
      <c r="F2527" t="s">
        <v>202</v>
      </c>
      <c r="G2527">
        <v>30</v>
      </c>
      <c r="H2527" s="7">
        <v>45539</v>
      </c>
      <c r="I2527" t="s">
        <v>207</v>
      </c>
    </row>
    <row r="2528" spans="1:9">
      <c r="A2528">
        <v>52527</v>
      </c>
      <c r="B2528">
        <v>3214</v>
      </c>
      <c r="C2528">
        <v>2011</v>
      </c>
      <c r="D2528" s="7">
        <v>45555</v>
      </c>
      <c r="E2528" t="s">
        <v>208</v>
      </c>
      <c r="F2528" t="s">
        <v>202</v>
      </c>
      <c r="G2528">
        <v>30</v>
      </c>
      <c r="H2528" s="7">
        <v>45585</v>
      </c>
      <c r="I2528" t="s">
        <v>203</v>
      </c>
    </row>
    <row r="2529" spans="1:9">
      <c r="A2529">
        <v>52528</v>
      </c>
      <c r="B2529">
        <v>3214</v>
      </c>
      <c r="C2529">
        <v>2011</v>
      </c>
      <c r="D2529" s="7">
        <v>45556</v>
      </c>
      <c r="E2529" t="s">
        <v>204</v>
      </c>
      <c r="F2529" t="s">
        <v>214</v>
      </c>
      <c r="H2529" s="7">
        <v>45586</v>
      </c>
      <c r="I2529" t="s">
        <v>216</v>
      </c>
    </row>
    <row r="2530" spans="1:9">
      <c r="A2530">
        <v>52529</v>
      </c>
      <c r="B2530">
        <v>3214</v>
      </c>
      <c r="C2530">
        <v>2011</v>
      </c>
      <c r="D2530" s="7">
        <v>45626</v>
      </c>
      <c r="E2530" t="s">
        <v>219</v>
      </c>
      <c r="F2530" t="s">
        <v>202</v>
      </c>
      <c r="G2530">
        <v>15</v>
      </c>
      <c r="H2530" s="7">
        <v>45656</v>
      </c>
      <c r="I2530" t="s">
        <v>217</v>
      </c>
    </row>
    <row r="2531" spans="1:9">
      <c r="A2531">
        <v>52530</v>
      </c>
      <c r="B2531">
        <v>3214</v>
      </c>
      <c r="C2531">
        <v>2011</v>
      </c>
      <c r="D2531" s="7">
        <v>45721</v>
      </c>
      <c r="E2531" t="s">
        <v>208</v>
      </c>
      <c r="F2531" t="s">
        <v>213</v>
      </c>
      <c r="H2531" s="7">
        <v>45742</v>
      </c>
      <c r="I2531" t="s">
        <v>216</v>
      </c>
    </row>
    <row r="2532" spans="1:9">
      <c r="A2532">
        <v>52531</v>
      </c>
      <c r="B2532">
        <v>3214</v>
      </c>
      <c r="C2532">
        <v>2011</v>
      </c>
      <c r="D2532" s="7">
        <v>45738</v>
      </c>
      <c r="E2532" t="s">
        <v>204</v>
      </c>
      <c r="F2532" t="s">
        <v>214</v>
      </c>
      <c r="H2532" s="7">
        <v>45768</v>
      </c>
      <c r="I2532" t="s">
        <v>207</v>
      </c>
    </row>
    <row r="2533" spans="1:9">
      <c r="A2533">
        <v>52532</v>
      </c>
      <c r="B2533">
        <v>3214</v>
      </c>
      <c r="C2533">
        <v>2011</v>
      </c>
      <c r="D2533" s="7">
        <v>45824</v>
      </c>
      <c r="E2533" t="s">
        <v>204</v>
      </c>
      <c r="F2533" t="s">
        <v>213</v>
      </c>
      <c r="H2533" s="7">
        <v>45831</v>
      </c>
      <c r="I2533" t="s">
        <v>203</v>
      </c>
    </row>
    <row r="2534" spans="1:9">
      <c r="A2534">
        <v>52533</v>
      </c>
      <c r="B2534">
        <v>3214</v>
      </c>
      <c r="C2534">
        <v>2011</v>
      </c>
      <c r="D2534" s="7">
        <v>45854</v>
      </c>
      <c r="E2534" t="s">
        <v>212</v>
      </c>
      <c r="F2534" t="s">
        <v>214</v>
      </c>
      <c r="H2534" s="7">
        <v>45857</v>
      </c>
      <c r="I2534" t="s">
        <v>211</v>
      </c>
    </row>
    <row r="2535" spans="1:9">
      <c r="A2535">
        <v>52534</v>
      </c>
      <c r="B2535">
        <v>3214</v>
      </c>
      <c r="C2535">
        <v>2011</v>
      </c>
      <c r="D2535" s="7">
        <v>45960</v>
      </c>
      <c r="E2535" t="s">
        <v>204</v>
      </c>
      <c r="F2535" t="s">
        <v>215</v>
      </c>
      <c r="G2535">
        <v>90</v>
      </c>
      <c r="H2535" s="7">
        <v>45963</v>
      </c>
      <c r="I2535" t="s">
        <v>217</v>
      </c>
    </row>
    <row r="2536" spans="1:9">
      <c r="A2536">
        <v>52535</v>
      </c>
      <c r="B2536">
        <v>3214</v>
      </c>
      <c r="C2536">
        <v>2011</v>
      </c>
      <c r="D2536" s="7">
        <v>45995</v>
      </c>
      <c r="E2536" t="s">
        <v>212</v>
      </c>
      <c r="F2536" t="s">
        <v>202</v>
      </c>
      <c r="G2536">
        <v>45</v>
      </c>
      <c r="H2536" s="7">
        <v>46025</v>
      </c>
      <c r="I2536" t="s">
        <v>216</v>
      </c>
    </row>
    <row r="2537" spans="1:9">
      <c r="A2537">
        <v>52536</v>
      </c>
      <c r="B2537">
        <v>3214</v>
      </c>
      <c r="C2537">
        <v>2011</v>
      </c>
      <c r="D2537" s="7">
        <v>46059</v>
      </c>
      <c r="E2537" t="s">
        <v>201</v>
      </c>
      <c r="F2537" t="s">
        <v>202</v>
      </c>
      <c r="G2537">
        <v>15</v>
      </c>
      <c r="H2537" s="7">
        <v>46089</v>
      </c>
      <c r="I2537" t="s">
        <v>211</v>
      </c>
    </row>
    <row r="2538" spans="1:9">
      <c r="A2538">
        <v>52537</v>
      </c>
      <c r="B2538">
        <v>3214</v>
      </c>
      <c r="C2538">
        <v>2011</v>
      </c>
      <c r="D2538" s="7">
        <v>46102</v>
      </c>
      <c r="E2538" t="s">
        <v>210</v>
      </c>
      <c r="F2538" t="s">
        <v>213</v>
      </c>
      <c r="H2538" s="7">
        <v>46132</v>
      </c>
      <c r="I2538" t="s">
        <v>207</v>
      </c>
    </row>
    <row r="2539" spans="1:9">
      <c r="A2539">
        <v>52538</v>
      </c>
      <c r="B2539">
        <v>3214</v>
      </c>
      <c r="C2539">
        <v>2011</v>
      </c>
      <c r="D2539" s="7">
        <v>46139</v>
      </c>
      <c r="E2539" t="s">
        <v>212</v>
      </c>
      <c r="F2539" t="s">
        <v>202</v>
      </c>
      <c r="G2539">
        <v>90</v>
      </c>
      <c r="H2539" s="7">
        <v>46153</v>
      </c>
      <c r="I2539" t="s">
        <v>216</v>
      </c>
    </row>
    <row r="2540" spans="1:9">
      <c r="A2540">
        <v>52539</v>
      </c>
      <c r="B2540">
        <v>3215</v>
      </c>
      <c r="C2540">
        <v>2003</v>
      </c>
      <c r="D2540" s="7">
        <v>45874</v>
      </c>
      <c r="E2540" t="s">
        <v>212</v>
      </c>
      <c r="F2540" t="s">
        <v>213</v>
      </c>
      <c r="H2540" s="7">
        <v>45877</v>
      </c>
      <c r="I2540" t="s">
        <v>216</v>
      </c>
    </row>
    <row r="2541" spans="1:9">
      <c r="A2541">
        <v>52540</v>
      </c>
      <c r="B2541">
        <v>3215</v>
      </c>
      <c r="C2541">
        <v>2003</v>
      </c>
      <c r="D2541" s="7">
        <v>45878</v>
      </c>
      <c r="E2541" t="s">
        <v>212</v>
      </c>
      <c r="F2541" t="s">
        <v>218</v>
      </c>
      <c r="H2541" s="7"/>
      <c r="I2541" t="s">
        <v>203</v>
      </c>
    </row>
    <row r="2542" spans="1:9">
      <c r="A2542">
        <v>52541</v>
      </c>
      <c r="B2542">
        <v>3215</v>
      </c>
      <c r="C2542">
        <v>2003</v>
      </c>
      <c r="D2542" s="7">
        <v>45902</v>
      </c>
      <c r="E2542" t="s">
        <v>204</v>
      </c>
      <c r="F2542" t="s">
        <v>202</v>
      </c>
      <c r="G2542">
        <v>45</v>
      </c>
      <c r="H2542" s="7">
        <v>45909</v>
      </c>
      <c r="I2542" t="s">
        <v>209</v>
      </c>
    </row>
    <row r="2543" spans="1:9">
      <c r="A2543">
        <v>52542</v>
      </c>
      <c r="B2543">
        <v>3215</v>
      </c>
      <c r="C2543">
        <v>2003</v>
      </c>
      <c r="D2543" s="7">
        <v>45997</v>
      </c>
      <c r="E2543" t="s">
        <v>210</v>
      </c>
      <c r="F2543" t="s">
        <v>213</v>
      </c>
      <c r="H2543" s="7">
        <v>46004</v>
      </c>
      <c r="I2543" t="s">
        <v>206</v>
      </c>
    </row>
    <row r="2544" spans="1:9">
      <c r="A2544">
        <v>52543</v>
      </c>
      <c r="B2544">
        <v>3215</v>
      </c>
      <c r="C2544">
        <v>2003</v>
      </c>
      <c r="D2544" s="7">
        <v>46003</v>
      </c>
      <c r="E2544" t="s">
        <v>219</v>
      </c>
      <c r="F2544" t="s">
        <v>202</v>
      </c>
      <c r="G2544">
        <v>20</v>
      </c>
      <c r="H2544" s="7">
        <v>46010</v>
      </c>
      <c r="I2544" t="s">
        <v>206</v>
      </c>
    </row>
    <row r="2545" spans="1:9">
      <c r="A2545">
        <v>52544</v>
      </c>
      <c r="B2545">
        <v>3215</v>
      </c>
      <c r="C2545">
        <v>2003</v>
      </c>
      <c r="D2545" s="7">
        <v>46013</v>
      </c>
      <c r="E2545" t="s">
        <v>201</v>
      </c>
      <c r="F2545" t="s">
        <v>202</v>
      </c>
      <c r="G2545">
        <v>45</v>
      </c>
      <c r="H2545" s="7">
        <v>46043</v>
      </c>
      <c r="I2545" t="s">
        <v>217</v>
      </c>
    </row>
    <row r="2546" spans="1:9">
      <c r="A2546">
        <v>52545</v>
      </c>
      <c r="B2546">
        <v>3215</v>
      </c>
      <c r="C2546">
        <v>2003</v>
      </c>
      <c r="D2546" s="7">
        <v>46135</v>
      </c>
      <c r="E2546" t="s">
        <v>201</v>
      </c>
      <c r="F2546" t="s">
        <v>202</v>
      </c>
      <c r="G2546">
        <v>15</v>
      </c>
      <c r="H2546" s="7">
        <v>46149</v>
      </c>
      <c r="I2546" t="s">
        <v>209</v>
      </c>
    </row>
    <row r="2547" spans="1:9">
      <c r="A2547">
        <v>52546</v>
      </c>
      <c r="B2547">
        <v>3216</v>
      </c>
      <c r="C2547">
        <v>2009</v>
      </c>
      <c r="D2547" s="7">
        <v>46101</v>
      </c>
      <c r="E2547" t="s">
        <v>212</v>
      </c>
      <c r="F2547" t="s">
        <v>214</v>
      </c>
      <c r="H2547" s="7">
        <v>46122</v>
      </c>
      <c r="I2547" t="s">
        <v>209</v>
      </c>
    </row>
    <row r="2548" spans="1:9">
      <c r="A2548">
        <v>52547</v>
      </c>
      <c r="B2548">
        <v>3216</v>
      </c>
      <c r="C2548">
        <v>2009</v>
      </c>
      <c r="D2548" s="7">
        <v>46111</v>
      </c>
      <c r="E2548" t="s">
        <v>210</v>
      </c>
      <c r="F2548" t="s">
        <v>213</v>
      </c>
      <c r="H2548" s="7">
        <v>46118</v>
      </c>
      <c r="I2548" t="s">
        <v>207</v>
      </c>
    </row>
    <row r="2549" spans="1:9">
      <c r="A2549">
        <v>52548</v>
      </c>
      <c r="B2549">
        <v>3216</v>
      </c>
      <c r="C2549">
        <v>2009</v>
      </c>
      <c r="D2549" s="7">
        <v>46130</v>
      </c>
      <c r="E2549" t="s">
        <v>212</v>
      </c>
      <c r="F2549" t="s">
        <v>215</v>
      </c>
      <c r="G2549">
        <v>45</v>
      </c>
      <c r="H2549" s="7">
        <v>46160</v>
      </c>
      <c r="I2549" t="s">
        <v>211</v>
      </c>
    </row>
    <row r="2550" spans="1:9">
      <c r="A2550">
        <v>52549</v>
      </c>
      <c r="B2550">
        <v>3216</v>
      </c>
      <c r="C2550">
        <v>2009</v>
      </c>
      <c r="D2550" s="7">
        <v>46153</v>
      </c>
      <c r="E2550" t="s">
        <v>204</v>
      </c>
      <c r="F2550" t="s">
        <v>218</v>
      </c>
      <c r="H2550" s="7"/>
      <c r="I2550" t="s">
        <v>216</v>
      </c>
    </row>
    <row r="2551" spans="1:9">
      <c r="A2551">
        <v>52550</v>
      </c>
      <c r="B2551">
        <v>3216</v>
      </c>
      <c r="C2551">
        <v>2009</v>
      </c>
      <c r="D2551" s="7">
        <v>46156</v>
      </c>
      <c r="E2551" t="s">
        <v>201</v>
      </c>
      <c r="F2551" t="s">
        <v>202</v>
      </c>
      <c r="G2551">
        <v>90</v>
      </c>
      <c r="H2551" s="7">
        <v>46170</v>
      </c>
      <c r="I2551" t="s">
        <v>207</v>
      </c>
    </row>
    <row r="2552" spans="1:9">
      <c r="A2552">
        <v>52551</v>
      </c>
      <c r="B2552">
        <v>3216</v>
      </c>
      <c r="C2552">
        <v>2009</v>
      </c>
      <c r="D2552" s="7">
        <v>46163</v>
      </c>
      <c r="E2552" t="s">
        <v>204</v>
      </c>
      <c r="F2552" t="s">
        <v>202</v>
      </c>
      <c r="G2552">
        <v>15</v>
      </c>
      <c r="H2552" s="7">
        <v>46193</v>
      </c>
      <c r="I2552" t="s">
        <v>217</v>
      </c>
    </row>
    <row r="2553" spans="1:9">
      <c r="A2553">
        <v>52552</v>
      </c>
      <c r="B2553">
        <v>3216</v>
      </c>
      <c r="C2553">
        <v>2009</v>
      </c>
      <c r="D2553" s="7">
        <v>46169</v>
      </c>
      <c r="E2553" t="s">
        <v>201</v>
      </c>
      <c r="F2553" t="s">
        <v>202</v>
      </c>
      <c r="G2553">
        <v>60</v>
      </c>
      <c r="H2553" s="7">
        <v>46183</v>
      </c>
      <c r="I2553" t="s">
        <v>216</v>
      </c>
    </row>
    <row r="2554" spans="1:9">
      <c r="A2554">
        <v>52553</v>
      </c>
      <c r="B2554">
        <v>3216</v>
      </c>
      <c r="C2554">
        <v>2009</v>
      </c>
      <c r="D2554" s="7">
        <v>46181</v>
      </c>
      <c r="E2554" t="s">
        <v>219</v>
      </c>
      <c r="F2554" t="s">
        <v>202</v>
      </c>
      <c r="G2554">
        <v>10</v>
      </c>
      <c r="H2554" s="7">
        <v>46202</v>
      </c>
      <c r="I2554" t="s">
        <v>217</v>
      </c>
    </row>
    <row r="2555" spans="1:9">
      <c r="A2555">
        <v>52554</v>
      </c>
      <c r="B2555">
        <v>3216</v>
      </c>
      <c r="C2555">
        <v>2009</v>
      </c>
      <c r="D2555" s="7">
        <v>46183</v>
      </c>
      <c r="E2555" t="s">
        <v>212</v>
      </c>
      <c r="F2555" t="s">
        <v>213</v>
      </c>
      <c r="H2555" s="7">
        <v>46186</v>
      </c>
      <c r="I2555" t="s">
        <v>207</v>
      </c>
    </row>
    <row r="2556" spans="1:9">
      <c r="A2556">
        <v>52555</v>
      </c>
      <c r="B2556">
        <v>3216</v>
      </c>
      <c r="C2556">
        <v>2009</v>
      </c>
      <c r="D2556" s="7">
        <v>46214</v>
      </c>
      <c r="E2556" t="s">
        <v>208</v>
      </c>
      <c r="F2556" t="s">
        <v>202</v>
      </c>
      <c r="G2556">
        <v>10</v>
      </c>
      <c r="H2556" s="7"/>
      <c r="I2556" t="s">
        <v>206</v>
      </c>
    </row>
    <row r="2557" spans="1:9">
      <c r="A2557">
        <v>52556</v>
      </c>
      <c r="B2557">
        <v>3217</v>
      </c>
      <c r="C2557">
        <v>2005</v>
      </c>
      <c r="D2557" s="7">
        <v>45735</v>
      </c>
      <c r="E2557" t="s">
        <v>212</v>
      </c>
      <c r="F2557" t="s">
        <v>202</v>
      </c>
      <c r="G2557">
        <v>60</v>
      </c>
      <c r="H2557" s="7">
        <v>45765</v>
      </c>
      <c r="I2557" t="s">
        <v>207</v>
      </c>
    </row>
    <row r="2558" spans="1:9">
      <c r="A2558">
        <v>52557</v>
      </c>
      <c r="B2558">
        <v>3217</v>
      </c>
      <c r="C2558">
        <v>2005</v>
      </c>
      <c r="D2558" s="7">
        <v>45748</v>
      </c>
      <c r="E2558" t="s">
        <v>201</v>
      </c>
      <c r="F2558" t="s">
        <v>213</v>
      </c>
      <c r="H2558" s="7">
        <v>45751</v>
      </c>
      <c r="I2558" t="s">
        <v>211</v>
      </c>
    </row>
    <row r="2559" spans="1:9">
      <c r="A2559">
        <v>52558</v>
      </c>
      <c r="B2559">
        <v>3217</v>
      </c>
      <c r="C2559">
        <v>2005</v>
      </c>
      <c r="D2559" s="7">
        <v>45785</v>
      </c>
      <c r="E2559" t="s">
        <v>219</v>
      </c>
      <c r="F2559" t="s">
        <v>202</v>
      </c>
      <c r="G2559">
        <v>30</v>
      </c>
      <c r="H2559" s="7">
        <v>45799</v>
      </c>
      <c r="I2559" t="s">
        <v>207</v>
      </c>
    </row>
    <row r="2560" spans="1:9">
      <c r="A2560">
        <v>52559</v>
      </c>
      <c r="B2560">
        <v>3217</v>
      </c>
      <c r="C2560">
        <v>2005</v>
      </c>
      <c r="D2560" s="7">
        <v>45813</v>
      </c>
      <c r="E2560" t="s">
        <v>212</v>
      </c>
      <c r="F2560" t="s">
        <v>214</v>
      </c>
      <c r="H2560" s="7">
        <v>45820</v>
      </c>
      <c r="I2560" t="s">
        <v>211</v>
      </c>
    </row>
    <row r="2561" spans="1:9">
      <c r="A2561">
        <v>52560</v>
      </c>
      <c r="B2561">
        <v>3217</v>
      </c>
      <c r="C2561">
        <v>2005</v>
      </c>
      <c r="D2561" s="7">
        <v>45820</v>
      </c>
      <c r="E2561" t="s">
        <v>201</v>
      </c>
      <c r="F2561" t="s">
        <v>202</v>
      </c>
      <c r="G2561">
        <v>60</v>
      </c>
      <c r="H2561" s="7">
        <v>45823</v>
      </c>
      <c r="I2561" t="s">
        <v>217</v>
      </c>
    </row>
    <row r="2562" spans="1:9">
      <c r="A2562">
        <v>52561</v>
      </c>
      <c r="B2562">
        <v>3217</v>
      </c>
      <c r="C2562">
        <v>2005</v>
      </c>
      <c r="D2562" s="7">
        <v>45826</v>
      </c>
      <c r="E2562" t="s">
        <v>212</v>
      </c>
      <c r="F2562" t="s">
        <v>214</v>
      </c>
      <c r="H2562" s="7">
        <v>45856</v>
      </c>
      <c r="I2562" t="s">
        <v>209</v>
      </c>
    </row>
    <row r="2563" spans="1:9">
      <c r="A2563">
        <v>52562</v>
      </c>
      <c r="B2563">
        <v>3217</v>
      </c>
      <c r="C2563">
        <v>2005</v>
      </c>
      <c r="D2563" s="7">
        <v>45837</v>
      </c>
      <c r="E2563" t="s">
        <v>204</v>
      </c>
      <c r="F2563" t="s">
        <v>202</v>
      </c>
      <c r="G2563">
        <v>45</v>
      </c>
      <c r="H2563" s="7">
        <v>45867</v>
      </c>
      <c r="I2563" t="s">
        <v>216</v>
      </c>
    </row>
    <row r="2564" spans="1:9">
      <c r="A2564">
        <v>52563</v>
      </c>
      <c r="B2564">
        <v>3217</v>
      </c>
      <c r="C2564">
        <v>2005</v>
      </c>
      <c r="D2564" s="7">
        <v>45902</v>
      </c>
      <c r="E2564" t="s">
        <v>208</v>
      </c>
      <c r="F2564" t="s">
        <v>214</v>
      </c>
      <c r="H2564" s="7">
        <v>45909</v>
      </c>
      <c r="I2564" t="s">
        <v>216</v>
      </c>
    </row>
    <row r="2565" spans="1:9">
      <c r="A2565">
        <v>52564</v>
      </c>
      <c r="B2565">
        <v>3217</v>
      </c>
      <c r="C2565">
        <v>2005</v>
      </c>
      <c r="D2565" s="7">
        <v>45916</v>
      </c>
      <c r="E2565" t="s">
        <v>210</v>
      </c>
      <c r="F2565" t="s">
        <v>215</v>
      </c>
      <c r="G2565">
        <v>15</v>
      </c>
      <c r="H2565" s="7">
        <v>45923</v>
      </c>
      <c r="I2565" t="s">
        <v>207</v>
      </c>
    </row>
    <row r="2566" spans="1:9">
      <c r="A2566">
        <v>52565</v>
      </c>
      <c r="B2566">
        <v>3217</v>
      </c>
      <c r="C2566">
        <v>2005</v>
      </c>
      <c r="D2566" s="7">
        <v>45972</v>
      </c>
      <c r="E2566" t="s">
        <v>219</v>
      </c>
      <c r="F2566" t="s">
        <v>215</v>
      </c>
      <c r="G2566">
        <v>15</v>
      </c>
      <c r="H2566" s="7">
        <v>45993</v>
      </c>
      <c r="I2566" t="s">
        <v>207</v>
      </c>
    </row>
    <row r="2567" spans="1:9">
      <c r="A2567">
        <v>52566</v>
      </c>
      <c r="B2567">
        <v>3217</v>
      </c>
      <c r="C2567">
        <v>2005</v>
      </c>
      <c r="D2567" s="7">
        <v>46017</v>
      </c>
      <c r="E2567" t="s">
        <v>204</v>
      </c>
      <c r="F2567" t="s">
        <v>218</v>
      </c>
      <c r="H2567" s="7"/>
      <c r="I2567" t="s">
        <v>203</v>
      </c>
    </row>
    <row r="2568" spans="1:9">
      <c r="A2568">
        <v>52567</v>
      </c>
      <c r="B2568">
        <v>3217</v>
      </c>
      <c r="C2568">
        <v>2005</v>
      </c>
      <c r="D2568" s="7">
        <v>46092</v>
      </c>
      <c r="E2568" t="s">
        <v>210</v>
      </c>
      <c r="F2568" t="s">
        <v>213</v>
      </c>
      <c r="H2568" s="7">
        <v>46095</v>
      </c>
      <c r="I2568" t="s">
        <v>207</v>
      </c>
    </row>
    <row r="2569" spans="1:9">
      <c r="A2569">
        <v>52568</v>
      </c>
      <c r="B2569">
        <v>3217</v>
      </c>
      <c r="C2569">
        <v>2005</v>
      </c>
      <c r="D2569" s="7">
        <v>46103</v>
      </c>
      <c r="E2569" t="s">
        <v>204</v>
      </c>
      <c r="F2569" t="s">
        <v>214</v>
      </c>
      <c r="H2569" s="7">
        <v>46106</v>
      </c>
      <c r="I2569" t="s">
        <v>207</v>
      </c>
    </row>
    <row r="2570" spans="1:9">
      <c r="A2570">
        <v>52569</v>
      </c>
      <c r="B2570">
        <v>3217</v>
      </c>
      <c r="C2570">
        <v>2005</v>
      </c>
      <c r="D2570" s="7">
        <v>46116</v>
      </c>
      <c r="E2570" t="s">
        <v>201</v>
      </c>
      <c r="F2570" t="s">
        <v>202</v>
      </c>
      <c r="G2570">
        <v>30</v>
      </c>
      <c r="H2570" s="7">
        <v>46123</v>
      </c>
      <c r="I2570" t="s">
        <v>216</v>
      </c>
    </row>
    <row r="2571" spans="1:9">
      <c r="A2571">
        <v>52570</v>
      </c>
      <c r="B2571">
        <v>3217</v>
      </c>
      <c r="C2571">
        <v>2005</v>
      </c>
      <c r="D2571" s="7">
        <v>46139</v>
      </c>
      <c r="E2571" t="s">
        <v>219</v>
      </c>
      <c r="F2571" t="s">
        <v>214</v>
      </c>
      <c r="H2571" s="7">
        <v>46169</v>
      </c>
      <c r="I2571" t="s">
        <v>207</v>
      </c>
    </row>
    <row r="2572" spans="1:9">
      <c r="A2572">
        <v>52571</v>
      </c>
      <c r="B2572">
        <v>3217</v>
      </c>
      <c r="C2572">
        <v>2005</v>
      </c>
      <c r="D2572" s="7">
        <v>46172</v>
      </c>
      <c r="E2572" t="s">
        <v>212</v>
      </c>
      <c r="F2572" t="s">
        <v>205</v>
      </c>
      <c r="H2572" s="7"/>
      <c r="I2572" t="s">
        <v>217</v>
      </c>
    </row>
    <row r="2573" spans="1:9">
      <c r="A2573">
        <v>52572</v>
      </c>
      <c r="B2573">
        <v>3218</v>
      </c>
      <c r="C2573">
        <v>2005</v>
      </c>
      <c r="D2573" s="7">
        <v>46096</v>
      </c>
      <c r="E2573" t="s">
        <v>204</v>
      </c>
      <c r="F2573" t="s">
        <v>205</v>
      </c>
      <c r="H2573" s="7"/>
      <c r="I2573" t="s">
        <v>217</v>
      </c>
    </row>
    <row r="2574" spans="1:9">
      <c r="A2574">
        <v>52573</v>
      </c>
      <c r="B2574">
        <v>3218</v>
      </c>
      <c r="C2574">
        <v>2005</v>
      </c>
      <c r="D2574" s="7">
        <v>46107</v>
      </c>
      <c r="E2574" t="s">
        <v>210</v>
      </c>
      <c r="F2574" t="s">
        <v>214</v>
      </c>
      <c r="H2574" s="7">
        <v>46137</v>
      </c>
      <c r="I2574" t="s">
        <v>211</v>
      </c>
    </row>
    <row r="2575" spans="1:9">
      <c r="A2575">
        <v>52574</v>
      </c>
      <c r="B2575">
        <v>3218</v>
      </c>
      <c r="C2575">
        <v>2005</v>
      </c>
      <c r="D2575" s="7">
        <v>46108</v>
      </c>
      <c r="E2575" t="s">
        <v>210</v>
      </c>
      <c r="F2575" t="s">
        <v>213</v>
      </c>
      <c r="H2575" s="7">
        <v>46122</v>
      </c>
      <c r="I2575" t="s">
        <v>209</v>
      </c>
    </row>
    <row r="2576" spans="1:9">
      <c r="A2576">
        <v>52575</v>
      </c>
      <c r="B2576">
        <v>3218</v>
      </c>
      <c r="C2576">
        <v>2005</v>
      </c>
      <c r="D2576" s="7">
        <v>46199</v>
      </c>
      <c r="E2576" t="s">
        <v>210</v>
      </c>
      <c r="F2576" t="s">
        <v>215</v>
      </c>
      <c r="G2576">
        <v>60</v>
      </c>
      <c r="H2576" s="7">
        <v>46206</v>
      </c>
      <c r="I2576" t="s">
        <v>207</v>
      </c>
    </row>
    <row r="2577" spans="1:9">
      <c r="A2577">
        <v>52576</v>
      </c>
      <c r="B2577">
        <v>3219</v>
      </c>
      <c r="C2577">
        <v>2017</v>
      </c>
      <c r="D2577" s="7">
        <v>45804</v>
      </c>
      <c r="E2577" t="s">
        <v>204</v>
      </c>
      <c r="F2577" t="s">
        <v>202</v>
      </c>
      <c r="G2577">
        <v>15</v>
      </c>
      <c r="H2577" s="7">
        <v>45811</v>
      </c>
      <c r="I2577" t="s">
        <v>207</v>
      </c>
    </row>
    <row r="2578" spans="1:9">
      <c r="A2578">
        <v>52577</v>
      </c>
      <c r="B2578">
        <v>3219</v>
      </c>
      <c r="C2578">
        <v>2017</v>
      </c>
      <c r="D2578" s="7">
        <v>45813</v>
      </c>
      <c r="E2578" t="s">
        <v>212</v>
      </c>
      <c r="F2578" t="s">
        <v>213</v>
      </c>
      <c r="H2578" s="7">
        <v>45827</v>
      </c>
      <c r="I2578" t="s">
        <v>207</v>
      </c>
    </row>
    <row r="2579" spans="1:9">
      <c r="A2579">
        <v>52578</v>
      </c>
      <c r="B2579">
        <v>3219</v>
      </c>
      <c r="C2579">
        <v>2017</v>
      </c>
      <c r="D2579" s="7">
        <v>45844</v>
      </c>
      <c r="E2579" t="s">
        <v>210</v>
      </c>
      <c r="F2579" t="s">
        <v>202</v>
      </c>
      <c r="G2579">
        <v>60</v>
      </c>
      <c r="H2579" s="7">
        <v>45874</v>
      </c>
      <c r="I2579" t="s">
        <v>207</v>
      </c>
    </row>
    <row r="2580" spans="1:9">
      <c r="A2580">
        <v>52579</v>
      </c>
      <c r="B2580">
        <v>3219</v>
      </c>
      <c r="C2580">
        <v>2017</v>
      </c>
      <c r="D2580" s="7">
        <v>45846</v>
      </c>
      <c r="E2580" t="s">
        <v>210</v>
      </c>
      <c r="F2580" t="s">
        <v>218</v>
      </c>
      <c r="H2580" s="7"/>
      <c r="I2580" t="s">
        <v>209</v>
      </c>
    </row>
    <row r="2581" spans="1:9">
      <c r="A2581">
        <v>52580</v>
      </c>
      <c r="B2581">
        <v>3219</v>
      </c>
      <c r="C2581">
        <v>2017</v>
      </c>
      <c r="D2581" s="7">
        <v>45847</v>
      </c>
      <c r="E2581" t="s">
        <v>219</v>
      </c>
      <c r="F2581" t="s">
        <v>214</v>
      </c>
      <c r="H2581" s="7">
        <v>45854</v>
      </c>
      <c r="I2581" t="s">
        <v>209</v>
      </c>
    </row>
    <row r="2582" spans="1:9">
      <c r="A2582">
        <v>52581</v>
      </c>
      <c r="B2582">
        <v>3219</v>
      </c>
      <c r="C2582">
        <v>2017</v>
      </c>
      <c r="D2582" s="7">
        <v>45865</v>
      </c>
      <c r="E2582" t="s">
        <v>204</v>
      </c>
      <c r="F2582" t="s">
        <v>202</v>
      </c>
      <c r="G2582">
        <v>90</v>
      </c>
      <c r="H2582" s="7">
        <v>45886</v>
      </c>
      <c r="I2582" t="s">
        <v>209</v>
      </c>
    </row>
    <row r="2583" spans="1:9">
      <c r="A2583">
        <v>52582</v>
      </c>
      <c r="B2583">
        <v>3219</v>
      </c>
      <c r="C2583">
        <v>2017</v>
      </c>
      <c r="D2583" s="7">
        <v>45905</v>
      </c>
      <c r="E2583" t="s">
        <v>208</v>
      </c>
      <c r="F2583" t="s">
        <v>215</v>
      </c>
      <c r="G2583">
        <v>30</v>
      </c>
      <c r="H2583" s="7">
        <v>45935</v>
      </c>
      <c r="I2583" t="s">
        <v>216</v>
      </c>
    </row>
    <row r="2584" spans="1:9">
      <c r="A2584">
        <v>52583</v>
      </c>
      <c r="B2584">
        <v>3219</v>
      </c>
      <c r="C2584">
        <v>2017</v>
      </c>
      <c r="D2584" s="7">
        <v>45909</v>
      </c>
      <c r="E2584" t="s">
        <v>201</v>
      </c>
      <c r="F2584" t="s">
        <v>202</v>
      </c>
      <c r="G2584">
        <v>15</v>
      </c>
      <c r="H2584" s="7">
        <v>45912</v>
      </c>
      <c r="I2584" t="s">
        <v>206</v>
      </c>
    </row>
    <row r="2585" spans="1:9">
      <c r="A2585">
        <v>52584</v>
      </c>
      <c r="B2585">
        <v>3219</v>
      </c>
      <c r="C2585">
        <v>2017</v>
      </c>
      <c r="D2585" s="7">
        <v>45964</v>
      </c>
      <c r="E2585" t="s">
        <v>219</v>
      </c>
      <c r="F2585" t="s">
        <v>205</v>
      </c>
      <c r="H2585" s="7"/>
      <c r="I2585" t="s">
        <v>209</v>
      </c>
    </row>
    <row r="2586" spans="1:9">
      <c r="A2586">
        <v>52585</v>
      </c>
      <c r="B2586">
        <v>3219</v>
      </c>
      <c r="C2586">
        <v>2017</v>
      </c>
      <c r="D2586" s="7">
        <v>45989</v>
      </c>
      <c r="E2586" t="s">
        <v>212</v>
      </c>
      <c r="F2586" t="s">
        <v>215</v>
      </c>
      <c r="G2586">
        <v>20</v>
      </c>
      <c r="H2586" s="7">
        <v>45996</v>
      </c>
      <c r="I2586" t="s">
        <v>207</v>
      </c>
    </row>
    <row r="2587" spans="1:9">
      <c r="A2587">
        <v>52586</v>
      </c>
      <c r="B2587">
        <v>3219</v>
      </c>
      <c r="C2587">
        <v>2017</v>
      </c>
      <c r="D2587" s="7">
        <v>46050</v>
      </c>
      <c r="E2587" t="s">
        <v>204</v>
      </c>
      <c r="F2587" t="s">
        <v>202</v>
      </c>
      <c r="G2587">
        <v>90</v>
      </c>
      <c r="H2587" s="7">
        <v>46080</v>
      </c>
      <c r="I2587" t="s">
        <v>216</v>
      </c>
    </row>
    <row r="2588" spans="1:9">
      <c r="A2588">
        <v>52587</v>
      </c>
      <c r="B2588">
        <v>3219</v>
      </c>
      <c r="C2588">
        <v>2017</v>
      </c>
      <c r="D2588" s="7">
        <v>46084</v>
      </c>
      <c r="E2588" t="s">
        <v>204</v>
      </c>
      <c r="F2588" t="s">
        <v>202</v>
      </c>
      <c r="G2588">
        <v>30</v>
      </c>
      <c r="H2588" s="7">
        <v>46098</v>
      </c>
      <c r="I2588" t="s">
        <v>217</v>
      </c>
    </row>
    <row r="2589" spans="1:9">
      <c r="A2589">
        <v>52588</v>
      </c>
      <c r="B2589">
        <v>3219</v>
      </c>
      <c r="C2589">
        <v>2017</v>
      </c>
      <c r="D2589" s="7">
        <v>46098</v>
      </c>
      <c r="E2589" t="s">
        <v>210</v>
      </c>
      <c r="F2589" t="s">
        <v>213</v>
      </c>
      <c r="H2589" s="7">
        <v>46105</v>
      </c>
      <c r="I2589" t="s">
        <v>207</v>
      </c>
    </row>
    <row r="2590" spans="1:9">
      <c r="A2590">
        <v>52589</v>
      </c>
      <c r="B2590">
        <v>3219</v>
      </c>
      <c r="C2590">
        <v>2017</v>
      </c>
      <c r="D2590" s="7">
        <v>46115</v>
      </c>
      <c r="E2590" t="s">
        <v>212</v>
      </c>
      <c r="F2590" t="s">
        <v>215</v>
      </c>
      <c r="G2590">
        <v>15</v>
      </c>
      <c r="H2590" s="7">
        <v>46122</v>
      </c>
      <c r="I2590" t="s">
        <v>216</v>
      </c>
    </row>
    <row r="2591" spans="1:9">
      <c r="A2591">
        <v>52590</v>
      </c>
      <c r="B2591">
        <v>3219</v>
      </c>
      <c r="C2591">
        <v>2017</v>
      </c>
      <c r="D2591" s="7">
        <v>46178</v>
      </c>
      <c r="E2591" t="s">
        <v>219</v>
      </c>
      <c r="F2591" t="s">
        <v>202</v>
      </c>
      <c r="G2591">
        <v>45</v>
      </c>
      <c r="H2591" s="7">
        <v>46192</v>
      </c>
      <c r="I2591" t="s">
        <v>207</v>
      </c>
    </row>
    <row r="2592" spans="1:9">
      <c r="A2592">
        <v>52591</v>
      </c>
      <c r="B2592">
        <v>3219</v>
      </c>
      <c r="C2592">
        <v>2017</v>
      </c>
      <c r="D2592" s="7">
        <v>46187</v>
      </c>
      <c r="E2592" t="s">
        <v>212</v>
      </c>
      <c r="F2592" t="s">
        <v>202</v>
      </c>
      <c r="G2592">
        <v>45</v>
      </c>
      <c r="H2592" s="7"/>
      <c r="I2592" t="s">
        <v>211</v>
      </c>
    </row>
    <row r="2593" spans="1:9">
      <c r="A2593">
        <v>52592</v>
      </c>
      <c r="B2593">
        <v>3219</v>
      </c>
      <c r="C2593">
        <v>2017</v>
      </c>
      <c r="D2593" s="7">
        <v>46208</v>
      </c>
      <c r="E2593" t="s">
        <v>201</v>
      </c>
      <c r="F2593" t="s">
        <v>202</v>
      </c>
      <c r="G2593">
        <v>30</v>
      </c>
      <c r="H2593" s="7"/>
      <c r="I2593" t="s">
        <v>207</v>
      </c>
    </row>
    <row r="2594" spans="1:9">
      <c r="A2594">
        <v>52593</v>
      </c>
      <c r="B2594">
        <v>3220</v>
      </c>
      <c r="C2594">
        <v>2008</v>
      </c>
      <c r="D2594" s="7">
        <v>45847</v>
      </c>
      <c r="E2594" t="s">
        <v>212</v>
      </c>
      <c r="F2594" t="s">
        <v>218</v>
      </c>
      <c r="H2594" s="7"/>
      <c r="I2594" t="s">
        <v>209</v>
      </c>
    </row>
    <row r="2595" spans="1:9">
      <c r="A2595">
        <v>52594</v>
      </c>
      <c r="B2595">
        <v>3220</v>
      </c>
      <c r="C2595">
        <v>2008</v>
      </c>
      <c r="D2595" s="7">
        <v>45847</v>
      </c>
      <c r="E2595" t="s">
        <v>204</v>
      </c>
      <c r="F2595" t="s">
        <v>213</v>
      </c>
      <c r="H2595" s="7">
        <v>45854</v>
      </c>
      <c r="I2595" t="s">
        <v>206</v>
      </c>
    </row>
    <row r="2596" spans="1:9">
      <c r="A2596">
        <v>52595</v>
      </c>
      <c r="B2596">
        <v>3220</v>
      </c>
      <c r="C2596">
        <v>2008</v>
      </c>
      <c r="D2596" s="7">
        <v>45847</v>
      </c>
      <c r="E2596" t="s">
        <v>208</v>
      </c>
      <c r="F2596" t="s">
        <v>202</v>
      </c>
      <c r="G2596">
        <v>20</v>
      </c>
      <c r="H2596" s="7">
        <v>45861</v>
      </c>
      <c r="I2596" t="s">
        <v>211</v>
      </c>
    </row>
    <row r="2597" spans="1:9">
      <c r="A2597">
        <v>52596</v>
      </c>
      <c r="B2597">
        <v>3220</v>
      </c>
      <c r="C2597">
        <v>2008</v>
      </c>
      <c r="D2597" s="7">
        <v>45851</v>
      </c>
      <c r="E2597" t="s">
        <v>212</v>
      </c>
      <c r="F2597" t="s">
        <v>202</v>
      </c>
      <c r="G2597">
        <v>45</v>
      </c>
      <c r="H2597" s="7">
        <v>45881</v>
      </c>
      <c r="I2597" t="s">
        <v>207</v>
      </c>
    </row>
    <row r="2598" spans="1:9">
      <c r="A2598">
        <v>52597</v>
      </c>
      <c r="B2598">
        <v>3220</v>
      </c>
      <c r="C2598">
        <v>2008</v>
      </c>
      <c r="D2598" s="7">
        <v>45853</v>
      </c>
      <c r="E2598" t="s">
        <v>210</v>
      </c>
      <c r="F2598" t="s">
        <v>213</v>
      </c>
      <c r="H2598" s="7">
        <v>45856</v>
      </c>
      <c r="I2598" t="s">
        <v>207</v>
      </c>
    </row>
    <row r="2599" spans="1:9">
      <c r="A2599">
        <v>52598</v>
      </c>
      <c r="B2599">
        <v>3220</v>
      </c>
      <c r="C2599">
        <v>2008</v>
      </c>
      <c r="D2599" s="7">
        <v>45861</v>
      </c>
      <c r="E2599" t="s">
        <v>208</v>
      </c>
      <c r="F2599" t="s">
        <v>214</v>
      </c>
      <c r="H2599" s="7">
        <v>45882</v>
      </c>
      <c r="I2599" t="s">
        <v>203</v>
      </c>
    </row>
    <row r="2600" spans="1:9">
      <c r="A2600">
        <v>52599</v>
      </c>
      <c r="B2600">
        <v>3220</v>
      </c>
      <c r="C2600">
        <v>2008</v>
      </c>
      <c r="D2600" s="7">
        <v>45861</v>
      </c>
      <c r="E2600" t="s">
        <v>219</v>
      </c>
      <c r="F2600" t="s">
        <v>202</v>
      </c>
      <c r="G2600">
        <v>90</v>
      </c>
      <c r="H2600" s="7">
        <v>45891</v>
      </c>
      <c r="I2600" t="s">
        <v>203</v>
      </c>
    </row>
    <row r="2601" spans="1:9">
      <c r="A2601">
        <v>52600</v>
      </c>
      <c r="B2601">
        <v>3220</v>
      </c>
      <c r="C2601">
        <v>2008</v>
      </c>
      <c r="D2601" s="7">
        <v>45864</v>
      </c>
      <c r="E2601" t="s">
        <v>201</v>
      </c>
      <c r="F2601" t="s">
        <v>215</v>
      </c>
      <c r="G2601">
        <v>45</v>
      </c>
      <c r="H2601" s="7">
        <v>45894</v>
      </c>
      <c r="I2601" t="s">
        <v>207</v>
      </c>
    </row>
    <row r="2602" spans="1:9">
      <c r="A2602">
        <v>52601</v>
      </c>
      <c r="B2602">
        <v>3220</v>
      </c>
      <c r="C2602">
        <v>2008</v>
      </c>
      <c r="D2602" s="7">
        <v>45865</v>
      </c>
      <c r="E2602" t="s">
        <v>201</v>
      </c>
      <c r="F2602" t="s">
        <v>214</v>
      </c>
      <c r="H2602" s="7">
        <v>45872</v>
      </c>
      <c r="I2602" t="s">
        <v>207</v>
      </c>
    </row>
    <row r="2603" spans="1:9">
      <c r="A2603">
        <v>52602</v>
      </c>
      <c r="B2603">
        <v>3220</v>
      </c>
      <c r="C2603">
        <v>2008</v>
      </c>
      <c r="D2603" s="7">
        <v>45871</v>
      </c>
      <c r="E2603" t="s">
        <v>219</v>
      </c>
      <c r="F2603" t="s">
        <v>214</v>
      </c>
      <c r="H2603" s="7">
        <v>45874</v>
      </c>
      <c r="I2603" t="s">
        <v>207</v>
      </c>
    </row>
    <row r="2604" spans="1:9">
      <c r="A2604">
        <v>52603</v>
      </c>
      <c r="B2604">
        <v>3220</v>
      </c>
      <c r="C2604">
        <v>2008</v>
      </c>
      <c r="D2604" s="7">
        <v>45883</v>
      </c>
      <c r="E2604" t="s">
        <v>212</v>
      </c>
      <c r="F2604" t="s">
        <v>214</v>
      </c>
      <c r="H2604" s="7">
        <v>45886</v>
      </c>
      <c r="I2604" t="s">
        <v>209</v>
      </c>
    </row>
    <row r="2605" spans="1:9">
      <c r="A2605">
        <v>52604</v>
      </c>
      <c r="B2605">
        <v>3220</v>
      </c>
      <c r="C2605">
        <v>2008</v>
      </c>
      <c r="D2605" s="7">
        <v>45888</v>
      </c>
      <c r="E2605" t="s">
        <v>212</v>
      </c>
      <c r="F2605" t="s">
        <v>202</v>
      </c>
      <c r="G2605">
        <v>90</v>
      </c>
      <c r="H2605" s="7">
        <v>45909</v>
      </c>
      <c r="I2605" t="s">
        <v>203</v>
      </c>
    </row>
    <row r="2606" spans="1:9">
      <c r="A2606">
        <v>52605</v>
      </c>
      <c r="B2606">
        <v>3220</v>
      </c>
      <c r="C2606">
        <v>2008</v>
      </c>
      <c r="D2606" s="7">
        <v>45911</v>
      </c>
      <c r="E2606" t="s">
        <v>219</v>
      </c>
      <c r="F2606" t="s">
        <v>218</v>
      </c>
      <c r="H2606" s="7"/>
      <c r="I2606" t="s">
        <v>217</v>
      </c>
    </row>
    <row r="2607" spans="1:9">
      <c r="A2607">
        <v>52606</v>
      </c>
      <c r="B2607">
        <v>3221</v>
      </c>
      <c r="C2607">
        <v>2009</v>
      </c>
      <c r="D2607" s="7">
        <v>45313</v>
      </c>
      <c r="E2607" t="s">
        <v>212</v>
      </c>
      <c r="F2607" t="s">
        <v>205</v>
      </c>
      <c r="H2607" s="7"/>
      <c r="I2607" t="s">
        <v>211</v>
      </c>
    </row>
    <row r="2608" spans="1:9">
      <c r="A2608">
        <v>52607</v>
      </c>
      <c r="B2608">
        <v>3221</v>
      </c>
      <c r="C2608">
        <v>2009</v>
      </c>
      <c r="D2608" s="7">
        <v>45379</v>
      </c>
      <c r="E2608" t="s">
        <v>204</v>
      </c>
      <c r="F2608" t="s">
        <v>202</v>
      </c>
      <c r="G2608">
        <v>10</v>
      </c>
      <c r="H2608" s="7">
        <v>45393</v>
      </c>
      <c r="I2608" t="s">
        <v>209</v>
      </c>
    </row>
    <row r="2609" spans="1:9">
      <c r="A2609">
        <v>52608</v>
      </c>
      <c r="B2609">
        <v>3221</v>
      </c>
      <c r="C2609">
        <v>2009</v>
      </c>
      <c r="D2609" s="7">
        <v>45387</v>
      </c>
      <c r="E2609" t="s">
        <v>208</v>
      </c>
      <c r="F2609" t="s">
        <v>202</v>
      </c>
      <c r="G2609">
        <v>20</v>
      </c>
      <c r="H2609" s="7">
        <v>45390</v>
      </c>
      <c r="I2609" t="s">
        <v>216</v>
      </c>
    </row>
    <row r="2610" spans="1:9">
      <c r="A2610">
        <v>52609</v>
      </c>
      <c r="B2610">
        <v>3221</v>
      </c>
      <c r="C2610">
        <v>2009</v>
      </c>
      <c r="D2610" s="7">
        <v>45433</v>
      </c>
      <c r="E2610" t="s">
        <v>212</v>
      </c>
      <c r="F2610" t="s">
        <v>214</v>
      </c>
      <c r="H2610" s="7">
        <v>45436</v>
      </c>
      <c r="I2610" t="s">
        <v>217</v>
      </c>
    </row>
    <row r="2611" spans="1:9">
      <c r="A2611">
        <v>52610</v>
      </c>
      <c r="B2611">
        <v>3221</v>
      </c>
      <c r="C2611">
        <v>2009</v>
      </c>
      <c r="D2611" s="7">
        <v>45436</v>
      </c>
      <c r="E2611" t="s">
        <v>212</v>
      </c>
      <c r="F2611" t="s">
        <v>202</v>
      </c>
      <c r="G2611">
        <v>60</v>
      </c>
      <c r="H2611" s="7">
        <v>45466</v>
      </c>
      <c r="I2611" t="s">
        <v>209</v>
      </c>
    </row>
    <row r="2612" spans="1:9">
      <c r="A2612">
        <v>52611</v>
      </c>
      <c r="B2612">
        <v>3221</v>
      </c>
      <c r="C2612">
        <v>2009</v>
      </c>
      <c r="D2612" s="7">
        <v>45566</v>
      </c>
      <c r="E2612" t="s">
        <v>208</v>
      </c>
      <c r="F2612" t="s">
        <v>215</v>
      </c>
      <c r="G2612">
        <v>60</v>
      </c>
      <c r="H2612" s="7">
        <v>45587</v>
      </c>
      <c r="I2612" t="s">
        <v>209</v>
      </c>
    </row>
    <row r="2613" spans="1:9">
      <c r="A2613">
        <v>52612</v>
      </c>
      <c r="B2613">
        <v>3221</v>
      </c>
      <c r="C2613">
        <v>2009</v>
      </c>
      <c r="D2613" s="7">
        <v>45580</v>
      </c>
      <c r="E2613" t="s">
        <v>219</v>
      </c>
      <c r="F2613" t="s">
        <v>213</v>
      </c>
      <c r="H2613" s="7">
        <v>45583</v>
      </c>
      <c r="I2613" t="s">
        <v>207</v>
      </c>
    </row>
    <row r="2614" spans="1:9">
      <c r="A2614">
        <v>52613</v>
      </c>
      <c r="B2614">
        <v>3221</v>
      </c>
      <c r="C2614">
        <v>2009</v>
      </c>
      <c r="D2614" s="7">
        <v>45721</v>
      </c>
      <c r="E2614" t="s">
        <v>212</v>
      </c>
      <c r="F2614" t="s">
        <v>202</v>
      </c>
      <c r="G2614">
        <v>20</v>
      </c>
      <c r="H2614" s="7">
        <v>45742</v>
      </c>
      <c r="I2614" t="s">
        <v>217</v>
      </c>
    </row>
    <row r="2615" spans="1:9">
      <c r="A2615">
        <v>52614</v>
      </c>
      <c r="B2615">
        <v>3221</v>
      </c>
      <c r="C2615">
        <v>2009</v>
      </c>
      <c r="D2615" s="7">
        <v>45733</v>
      </c>
      <c r="E2615" t="s">
        <v>212</v>
      </c>
      <c r="F2615" t="s">
        <v>202</v>
      </c>
      <c r="G2615">
        <v>10</v>
      </c>
      <c r="H2615" s="7">
        <v>45747</v>
      </c>
      <c r="I2615" t="s">
        <v>217</v>
      </c>
    </row>
    <row r="2616" spans="1:9">
      <c r="A2616">
        <v>52615</v>
      </c>
      <c r="B2616">
        <v>3221</v>
      </c>
      <c r="C2616">
        <v>2009</v>
      </c>
      <c r="D2616" s="7">
        <v>45743</v>
      </c>
      <c r="E2616" t="s">
        <v>219</v>
      </c>
      <c r="F2616" t="s">
        <v>202</v>
      </c>
      <c r="G2616">
        <v>20</v>
      </c>
      <c r="H2616" s="7">
        <v>45773</v>
      </c>
      <c r="I2616" t="s">
        <v>211</v>
      </c>
    </row>
    <row r="2617" spans="1:9">
      <c r="A2617">
        <v>52616</v>
      </c>
      <c r="B2617">
        <v>3221</v>
      </c>
      <c r="C2617">
        <v>2009</v>
      </c>
      <c r="D2617" s="7">
        <v>45770</v>
      </c>
      <c r="E2617" t="s">
        <v>204</v>
      </c>
      <c r="F2617" t="s">
        <v>202</v>
      </c>
      <c r="G2617">
        <v>10</v>
      </c>
      <c r="H2617" s="7">
        <v>45800</v>
      </c>
      <c r="I2617" t="s">
        <v>217</v>
      </c>
    </row>
    <row r="2618" spans="1:9">
      <c r="A2618">
        <v>52617</v>
      </c>
      <c r="B2618">
        <v>3221</v>
      </c>
      <c r="C2618">
        <v>2009</v>
      </c>
      <c r="D2618" s="7">
        <v>45788</v>
      </c>
      <c r="E2618" t="s">
        <v>212</v>
      </c>
      <c r="F2618" t="s">
        <v>202</v>
      </c>
      <c r="G2618">
        <v>60</v>
      </c>
      <c r="H2618" s="7">
        <v>45818</v>
      </c>
      <c r="I2618" t="s">
        <v>206</v>
      </c>
    </row>
    <row r="2619" spans="1:9">
      <c r="A2619">
        <v>52618</v>
      </c>
      <c r="B2619">
        <v>3221</v>
      </c>
      <c r="C2619">
        <v>2009</v>
      </c>
      <c r="D2619" s="7">
        <v>45830</v>
      </c>
      <c r="E2619" t="s">
        <v>210</v>
      </c>
      <c r="F2619" t="s">
        <v>213</v>
      </c>
      <c r="H2619" s="7">
        <v>45844</v>
      </c>
      <c r="I2619" t="s">
        <v>217</v>
      </c>
    </row>
    <row r="2620" spans="1:9">
      <c r="A2620">
        <v>52619</v>
      </c>
      <c r="B2620">
        <v>3221</v>
      </c>
      <c r="C2620">
        <v>2009</v>
      </c>
      <c r="D2620" s="7">
        <v>45862</v>
      </c>
      <c r="E2620" t="s">
        <v>201</v>
      </c>
      <c r="F2620" t="s">
        <v>202</v>
      </c>
      <c r="G2620">
        <v>45</v>
      </c>
      <c r="H2620" s="7">
        <v>45883</v>
      </c>
      <c r="I2620" t="s">
        <v>203</v>
      </c>
    </row>
    <row r="2621" spans="1:9">
      <c r="A2621">
        <v>52620</v>
      </c>
      <c r="B2621">
        <v>3221</v>
      </c>
      <c r="C2621">
        <v>2009</v>
      </c>
      <c r="D2621" s="7">
        <v>46038</v>
      </c>
      <c r="E2621" t="s">
        <v>204</v>
      </c>
      <c r="F2621" t="s">
        <v>202</v>
      </c>
      <c r="G2621">
        <v>90</v>
      </c>
      <c r="H2621" s="7">
        <v>46068</v>
      </c>
      <c r="I2621" t="s">
        <v>216</v>
      </c>
    </row>
    <row r="2622" spans="1:9">
      <c r="A2622">
        <v>52621</v>
      </c>
      <c r="B2622">
        <v>3221</v>
      </c>
      <c r="C2622">
        <v>2009</v>
      </c>
      <c r="D2622" s="7">
        <v>46184</v>
      </c>
      <c r="E2622" t="s">
        <v>201</v>
      </c>
      <c r="F2622" t="s">
        <v>215</v>
      </c>
      <c r="G2622">
        <v>60</v>
      </c>
      <c r="H2622" s="7">
        <v>46191</v>
      </c>
      <c r="I2622" t="s">
        <v>217</v>
      </c>
    </row>
    <row r="2623" spans="1:9">
      <c r="A2623">
        <v>52622</v>
      </c>
      <c r="B2623">
        <v>3222</v>
      </c>
      <c r="C2623">
        <v>2006</v>
      </c>
      <c r="D2623" s="7">
        <v>45785</v>
      </c>
      <c r="E2623" t="s">
        <v>208</v>
      </c>
      <c r="F2623" t="s">
        <v>202</v>
      </c>
      <c r="G2623">
        <v>10</v>
      </c>
      <c r="H2623" s="7">
        <v>45799</v>
      </c>
      <c r="I2623" t="s">
        <v>216</v>
      </c>
    </row>
    <row r="2624" spans="1:9">
      <c r="A2624">
        <v>52623</v>
      </c>
      <c r="B2624">
        <v>3222</v>
      </c>
      <c r="C2624">
        <v>2006</v>
      </c>
      <c r="D2624" s="7">
        <v>45793</v>
      </c>
      <c r="E2624" t="s">
        <v>212</v>
      </c>
      <c r="F2624" t="s">
        <v>202</v>
      </c>
      <c r="G2624">
        <v>30</v>
      </c>
      <c r="H2624" s="7">
        <v>45823</v>
      </c>
      <c r="I2624" t="s">
        <v>207</v>
      </c>
    </row>
    <row r="2625" spans="1:9">
      <c r="A2625">
        <v>52624</v>
      </c>
      <c r="B2625">
        <v>3222</v>
      </c>
      <c r="C2625">
        <v>2006</v>
      </c>
      <c r="D2625" s="7">
        <v>45805</v>
      </c>
      <c r="E2625" t="s">
        <v>212</v>
      </c>
      <c r="F2625" t="s">
        <v>215</v>
      </c>
      <c r="G2625">
        <v>10</v>
      </c>
      <c r="H2625" s="7">
        <v>45812</v>
      </c>
      <c r="I2625" t="s">
        <v>207</v>
      </c>
    </row>
    <row r="2626" spans="1:9">
      <c r="A2626">
        <v>52625</v>
      </c>
      <c r="B2626">
        <v>3222</v>
      </c>
      <c r="C2626">
        <v>2006</v>
      </c>
      <c r="D2626" s="7">
        <v>45806</v>
      </c>
      <c r="E2626" t="s">
        <v>204</v>
      </c>
      <c r="F2626" t="s">
        <v>202</v>
      </c>
      <c r="G2626">
        <v>30</v>
      </c>
      <c r="H2626" s="7">
        <v>45827</v>
      </c>
      <c r="I2626" t="s">
        <v>209</v>
      </c>
    </row>
    <row r="2627" spans="1:9">
      <c r="A2627">
        <v>52626</v>
      </c>
      <c r="B2627">
        <v>3222</v>
      </c>
      <c r="C2627">
        <v>2006</v>
      </c>
      <c r="D2627" s="7">
        <v>45847</v>
      </c>
      <c r="E2627" t="s">
        <v>204</v>
      </c>
      <c r="F2627" t="s">
        <v>214</v>
      </c>
      <c r="H2627" s="7">
        <v>45861</v>
      </c>
      <c r="I2627" t="s">
        <v>211</v>
      </c>
    </row>
    <row r="2628" spans="1:9">
      <c r="A2628">
        <v>52627</v>
      </c>
      <c r="B2628">
        <v>3222</v>
      </c>
      <c r="C2628">
        <v>2006</v>
      </c>
      <c r="D2628" s="7">
        <v>45892</v>
      </c>
      <c r="E2628" t="s">
        <v>204</v>
      </c>
      <c r="F2628" t="s">
        <v>202</v>
      </c>
      <c r="G2628">
        <v>60</v>
      </c>
      <c r="H2628" s="7">
        <v>45913</v>
      </c>
      <c r="I2628" t="s">
        <v>209</v>
      </c>
    </row>
    <row r="2629" spans="1:9">
      <c r="A2629">
        <v>52628</v>
      </c>
      <c r="B2629">
        <v>3222</v>
      </c>
      <c r="C2629">
        <v>2006</v>
      </c>
      <c r="D2629" s="7">
        <v>45969</v>
      </c>
      <c r="E2629" t="s">
        <v>212</v>
      </c>
      <c r="F2629" t="s">
        <v>202</v>
      </c>
      <c r="G2629">
        <v>30</v>
      </c>
      <c r="H2629" s="7">
        <v>45972</v>
      </c>
      <c r="I2629" t="s">
        <v>203</v>
      </c>
    </row>
    <row r="2630" spans="1:9">
      <c r="A2630">
        <v>52629</v>
      </c>
      <c r="B2630">
        <v>3222</v>
      </c>
      <c r="C2630">
        <v>2006</v>
      </c>
      <c r="D2630" s="7">
        <v>45983</v>
      </c>
      <c r="E2630" t="s">
        <v>219</v>
      </c>
      <c r="F2630" t="s">
        <v>202</v>
      </c>
      <c r="G2630">
        <v>30</v>
      </c>
      <c r="H2630" s="7">
        <v>45990</v>
      </c>
      <c r="I2630" t="s">
        <v>211</v>
      </c>
    </row>
    <row r="2631" spans="1:9">
      <c r="A2631">
        <v>52630</v>
      </c>
      <c r="B2631">
        <v>3222</v>
      </c>
      <c r="C2631">
        <v>2006</v>
      </c>
      <c r="D2631" s="7">
        <v>46034</v>
      </c>
      <c r="E2631" t="s">
        <v>208</v>
      </c>
      <c r="F2631" t="s">
        <v>202</v>
      </c>
      <c r="G2631">
        <v>60</v>
      </c>
      <c r="H2631" s="7">
        <v>46041</v>
      </c>
      <c r="I2631" t="s">
        <v>217</v>
      </c>
    </row>
    <row r="2632" spans="1:9">
      <c r="A2632">
        <v>52631</v>
      </c>
      <c r="B2632">
        <v>3222</v>
      </c>
      <c r="C2632">
        <v>2006</v>
      </c>
      <c r="D2632" s="7">
        <v>46051</v>
      </c>
      <c r="E2632" t="s">
        <v>219</v>
      </c>
      <c r="F2632" t="s">
        <v>202</v>
      </c>
      <c r="G2632">
        <v>15</v>
      </c>
      <c r="H2632" s="7">
        <v>46065</v>
      </c>
      <c r="I2632" t="s">
        <v>209</v>
      </c>
    </row>
    <row r="2633" spans="1:9">
      <c r="A2633">
        <v>52632</v>
      </c>
      <c r="B2633">
        <v>3222</v>
      </c>
      <c r="C2633">
        <v>2006</v>
      </c>
      <c r="D2633" s="7">
        <v>46057</v>
      </c>
      <c r="E2633" t="s">
        <v>204</v>
      </c>
      <c r="F2633" t="s">
        <v>213</v>
      </c>
      <c r="H2633" s="7">
        <v>46064</v>
      </c>
      <c r="I2633" t="s">
        <v>217</v>
      </c>
    </row>
    <row r="2634" spans="1:9">
      <c r="A2634">
        <v>52633</v>
      </c>
      <c r="B2634">
        <v>3222</v>
      </c>
      <c r="C2634">
        <v>2006</v>
      </c>
      <c r="D2634" s="7">
        <v>46063</v>
      </c>
      <c r="E2634" t="s">
        <v>212</v>
      </c>
      <c r="F2634" t="s">
        <v>202</v>
      </c>
      <c r="G2634">
        <v>20</v>
      </c>
      <c r="H2634" s="7">
        <v>46066</v>
      </c>
      <c r="I2634" t="s">
        <v>211</v>
      </c>
    </row>
    <row r="2635" spans="1:9">
      <c r="A2635">
        <v>52634</v>
      </c>
      <c r="B2635">
        <v>3222</v>
      </c>
      <c r="C2635">
        <v>2006</v>
      </c>
      <c r="D2635" s="7">
        <v>46087</v>
      </c>
      <c r="E2635" t="s">
        <v>204</v>
      </c>
      <c r="F2635" t="s">
        <v>202</v>
      </c>
      <c r="G2635">
        <v>60</v>
      </c>
      <c r="H2635" s="7">
        <v>46117</v>
      </c>
      <c r="I2635" t="s">
        <v>211</v>
      </c>
    </row>
    <row r="2636" spans="1:9">
      <c r="A2636">
        <v>52635</v>
      </c>
      <c r="B2636">
        <v>3222</v>
      </c>
      <c r="C2636">
        <v>2006</v>
      </c>
      <c r="D2636" s="7">
        <v>46116</v>
      </c>
      <c r="E2636" t="s">
        <v>212</v>
      </c>
      <c r="F2636" t="s">
        <v>202</v>
      </c>
      <c r="G2636">
        <v>10</v>
      </c>
      <c r="H2636" s="7">
        <v>46146</v>
      </c>
      <c r="I2636" t="s">
        <v>203</v>
      </c>
    </row>
    <row r="2637" spans="1:9">
      <c r="A2637">
        <v>52636</v>
      </c>
      <c r="B2637">
        <v>3222</v>
      </c>
      <c r="C2637">
        <v>2006</v>
      </c>
      <c r="D2637" s="7">
        <v>46135</v>
      </c>
      <c r="E2637" t="s">
        <v>210</v>
      </c>
      <c r="F2637" t="s">
        <v>205</v>
      </c>
      <c r="H2637" s="7"/>
      <c r="I2637" t="s">
        <v>203</v>
      </c>
    </row>
    <row r="2638" spans="1:9">
      <c r="A2638">
        <v>52637</v>
      </c>
      <c r="B2638">
        <v>3222</v>
      </c>
      <c r="C2638">
        <v>2006</v>
      </c>
      <c r="D2638" s="7">
        <v>46158</v>
      </c>
      <c r="E2638" t="s">
        <v>201</v>
      </c>
      <c r="F2638" t="s">
        <v>205</v>
      </c>
      <c r="H2638" s="7"/>
      <c r="I2638" t="s">
        <v>217</v>
      </c>
    </row>
    <row r="2639" spans="1:9">
      <c r="A2639">
        <v>52638</v>
      </c>
      <c r="B2639">
        <v>3222</v>
      </c>
      <c r="C2639">
        <v>2006</v>
      </c>
      <c r="D2639" s="7">
        <v>46186</v>
      </c>
      <c r="E2639" t="s">
        <v>204</v>
      </c>
      <c r="F2639" t="s">
        <v>213</v>
      </c>
      <c r="H2639" s="7">
        <v>46200</v>
      </c>
      <c r="I2639" t="s">
        <v>203</v>
      </c>
    </row>
    <row r="2640" spans="1:9">
      <c r="A2640">
        <v>52639</v>
      </c>
      <c r="B2640">
        <v>3222</v>
      </c>
      <c r="C2640">
        <v>2006</v>
      </c>
      <c r="D2640" s="7">
        <v>46200</v>
      </c>
      <c r="E2640" t="s">
        <v>210</v>
      </c>
      <c r="F2640" t="s">
        <v>218</v>
      </c>
      <c r="H2640" s="7"/>
      <c r="I2640" t="s">
        <v>217</v>
      </c>
    </row>
    <row r="2641" spans="1:9">
      <c r="A2641">
        <v>52640</v>
      </c>
      <c r="B2641">
        <v>3222</v>
      </c>
      <c r="C2641">
        <v>2006</v>
      </c>
      <c r="D2641" s="7">
        <v>46205</v>
      </c>
      <c r="E2641" t="s">
        <v>219</v>
      </c>
      <c r="F2641" t="s">
        <v>214</v>
      </c>
      <c r="H2641" s="7"/>
      <c r="I2641" t="s">
        <v>209</v>
      </c>
    </row>
    <row r="2642" spans="1:9">
      <c r="A2642">
        <v>52641</v>
      </c>
      <c r="B2642">
        <v>3223</v>
      </c>
      <c r="C2642">
        <v>2018</v>
      </c>
      <c r="D2642" s="7">
        <v>45357</v>
      </c>
      <c r="E2642" t="s">
        <v>210</v>
      </c>
      <c r="F2642" t="s">
        <v>205</v>
      </c>
      <c r="H2642" s="7"/>
      <c r="I2642" t="s">
        <v>206</v>
      </c>
    </row>
    <row r="2643" spans="1:9">
      <c r="A2643">
        <v>52642</v>
      </c>
      <c r="B2643">
        <v>3223</v>
      </c>
      <c r="C2643">
        <v>2018</v>
      </c>
      <c r="D2643" s="7">
        <v>45462</v>
      </c>
      <c r="E2643" t="s">
        <v>204</v>
      </c>
      <c r="F2643" t="s">
        <v>213</v>
      </c>
      <c r="H2643" s="7">
        <v>45476</v>
      </c>
      <c r="I2643" t="s">
        <v>206</v>
      </c>
    </row>
    <row r="2644" spans="1:9">
      <c r="A2644">
        <v>52643</v>
      </c>
      <c r="B2644">
        <v>3223</v>
      </c>
      <c r="C2644">
        <v>2018</v>
      </c>
      <c r="D2644" s="7">
        <v>45464</v>
      </c>
      <c r="E2644" t="s">
        <v>212</v>
      </c>
      <c r="F2644" t="s">
        <v>215</v>
      </c>
      <c r="G2644">
        <v>45</v>
      </c>
      <c r="H2644" s="7">
        <v>45471</v>
      </c>
      <c r="I2644" t="s">
        <v>203</v>
      </c>
    </row>
    <row r="2645" spans="1:9">
      <c r="A2645">
        <v>52644</v>
      </c>
      <c r="B2645">
        <v>3223</v>
      </c>
      <c r="C2645">
        <v>2018</v>
      </c>
      <c r="D2645" s="7">
        <v>45476</v>
      </c>
      <c r="E2645" t="s">
        <v>208</v>
      </c>
      <c r="F2645" t="s">
        <v>202</v>
      </c>
      <c r="G2645">
        <v>45</v>
      </c>
      <c r="H2645" s="7">
        <v>45483</v>
      </c>
      <c r="I2645" t="s">
        <v>207</v>
      </c>
    </row>
    <row r="2646" spans="1:9">
      <c r="A2646">
        <v>52645</v>
      </c>
      <c r="B2646">
        <v>3223</v>
      </c>
      <c r="C2646">
        <v>2018</v>
      </c>
      <c r="D2646" s="7">
        <v>45504</v>
      </c>
      <c r="E2646" t="s">
        <v>219</v>
      </c>
      <c r="F2646" t="s">
        <v>202</v>
      </c>
      <c r="G2646">
        <v>45</v>
      </c>
      <c r="H2646" s="7">
        <v>45534</v>
      </c>
      <c r="I2646" t="s">
        <v>217</v>
      </c>
    </row>
    <row r="2647" spans="1:9">
      <c r="A2647">
        <v>52646</v>
      </c>
      <c r="B2647">
        <v>3223</v>
      </c>
      <c r="C2647">
        <v>2018</v>
      </c>
      <c r="D2647" s="7">
        <v>45510</v>
      </c>
      <c r="E2647" t="s">
        <v>208</v>
      </c>
      <c r="F2647" t="s">
        <v>202</v>
      </c>
      <c r="G2647">
        <v>20</v>
      </c>
      <c r="H2647" s="7">
        <v>45517</v>
      </c>
      <c r="I2647" t="s">
        <v>203</v>
      </c>
    </row>
    <row r="2648" spans="1:9">
      <c r="A2648">
        <v>52647</v>
      </c>
      <c r="B2648">
        <v>3223</v>
      </c>
      <c r="C2648">
        <v>2018</v>
      </c>
      <c r="D2648" s="7">
        <v>45545</v>
      </c>
      <c r="E2648" t="s">
        <v>219</v>
      </c>
      <c r="F2648" t="s">
        <v>202</v>
      </c>
      <c r="G2648">
        <v>90</v>
      </c>
      <c r="H2648" s="7">
        <v>45575</v>
      </c>
      <c r="I2648" t="s">
        <v>206</v>
      </c>
    </row>
    <row r="2649" spans="1:9">
      <c r="A2649">
        <v>52648</v>
      </c>
      <c r="B2649">
        <v>3223</v>
      </c>
      <c r="C2649">
        <v>2018</v>
      </c>
      <c r="D2649" s="7">
        <v>45557</v>
      </c>
      <c r="E2649" t="s">
        <v>219</v>
      </c>
      <c r="F2649" t="s">
        <v>202</v>
      </c>
      <c r="G2649">
        <v>30</v>
      </c>
      <c r="H2649" s="7">
        <v>45564</v>
      </c>
      <c r="I2649" t="s">
        <v>206</v>
      </c>
    </row>
    <row r="2650" spans="1:9">
      <c r="A2650">
        <v>52649</v>
      </c>
      <c r="B2650">
        <v>3223</v>
      </c>
      <c r="C2650">
        <v>2018</v>
      </c>
      <c r="D2650" s="7">
        <v>45646</v>
      </c>
      <c r="E2650" t="s">
        <v>210</v>
      </c>
      <c r="F2650" t="s">
        <v>218</v>
      </c>
      <c r="H2650" s="7"/>
      <c r="I2650" t="s">
        <v>216</v>
      </c>
    </row>
    <row r="2651" spans="1:9">
      <c r="A2651">
        <v>52650</v>
      </c>
      <c r="B2651">
        <v>3223</v>
      </c>
      <c r="C2651">
        <v>2018</v>
      </c>
      <c r="D2651" s="7">
        <v>45675</v>
      </c>
      <c r="E2651" t="s">
        <v>208</v>
      </c>
      <c r="F2651" t="s">
        <v>202</v>
      </c>
      <c r="G2651">
        <v>30</v>
      </c>
      <c r="H2651" s="7">
        <v>45705</v>
      </c>
      <c r="I2651" t="s">
        <v>217</v>
      </c>
    </row>
    <row r="2652" spans="1:9">
      <c r="A2652">
        <v>52651</v>
      </c>
      <c r="B2652">
        <v>3223</v>
      </c>
      <c r="C2652">
        <v>2018</v>
      </c>
      <c r="D2652" s="7">
        <v>45715</v>
      </c>
      <c r="E2652" t="s">
        <v>210</v>
      </c>
      <c r="F2652" t="s">
        <v>214</v>
      </c>
      <c r="H2652" s="7">
        <v>45722</v>
      </c>
      <c r="I2652" t="s">
        <v>217</v>
      </c>
    </row>
    <row r="2653" spans="1:9">
      <c r="A2653">
        <v>52652</v>
      </c>
      <c r="B2653">
        <v>3223</v>
      </c>
      <c r="C2653">
        <v>2018</v>
      </c>
      <c r="D2653" s="7">
        <v>45802</v>
      </c>
      <c r="E2653" t="s">
        <v>204</v>
      </c>
      <c r="F2653" t="s">
        <v>214</v>
      </c>
      <c r="H2653" s="7">
        <v>45832</v>
      </c>
      <c r="I2653" t="s">
        <v>207</v>
      </c>
    </row>
    <row r="2654" spans="1:9">
      <c r="A2654">
        <v>52653</v>
      </c>
      <c r="B2654">
        <v>3223</v>
      </c>
      <c r="C2654">
        <v>2018</v>
      </c>
      <c r="D2654" s="7">
        <v>45867</v>
      </c>
      <c r="E2654" t="s">
        <v>204</v>
      </c>
      <c r="F2654" t="s">
        <v>218</v>
      </c>
      <c r="H2654" s="7"/>
      <c r="I2654" t="s">
        <v>216</v>
      </c>
    </row>
    <row r="2655" spans="1:9">
      <c r="A2655">
        <v>52654</v>
      </c>
      <c r="B2655">
        <v>3223</v>
      </c>
      <c r="C2655">
        <v>2018</v>
      </c>
      <c r="D2655" s="7">
        <v>45870</v>
      </c>
      <c r="E2655" t="s">
        <v>201</v>
      </c>
      <c r="F2655" t="s">
        <v>214</v>
      </c>
      <c r="H2655" s="7">
        <v>45900</v>
      </c>
      <c r="I2655" t="s">
        <v>216</v>
      </c>
    </row>
    <row r="2656" spans="1:9">
      <c r="A2656">
        <v>52655</v>
      </c>
      <c r="B2656">
        <v>3223</v>
      </c>
      <c r="C2656">
        <v>2018</v>
      </c>
      <c r="D2656" s="7">
        <v>45887</v>
      </c>
      <c r="E2656" t="s">
        <v>210</v>
      </c>
      <c r="F2656" t="s">
        <v>214</v>
      </c>
      <c r="H2656" s="7">
        <v>45901</v>
      </c>
      <c r="I2656" t="s">
        <v>216</v>
      </c>
    </row>
    <row r="2657" spans="1:9">
      <c r="A2657">
        <v>52656</v>
      </c>
      <c r="B2657">
        <v>3223</v>
      </c>
      <c r="C2657">
        <v>2018</v>
      </c>
      <c r="D2657" s="7">
        <v>45920</v>
      </c>
      <c r="E2657" t="s">
        <v>210</v>
      </c>
      <c r="F2657" t="s">
        <v>214</v>
      </c>
      <c r="H2657" s="7">
        <v>45934</v>
      </c>
      <c r="I2657" t="s">
        <v>217</v>
      </c>
    </row>
    <row r="2658" spans="1:9">
      <c r="A2658">
        <v>52657</v>
      </c>
      <c r="B2658">
        <v>3223</v>
      </c>
      <c r="C2658">
        <v>2018</v>
      </c>
      <c r="D2658" s="7">
        <v>45961</v>
      </c>
      <c r="E2658" t="s">
        <v>210</v>
      </c>
      <c r="F2658" t="s">
        <v>214</v>
      </c>
      <c r="H2658" s="7">
        <v>45964</v>
      </c>
      <c r="I2658" t="s">
        <v>203</v>
      </c>
    </row>
    <row r="2659" spans="1:9">
      <c r="A2659">
        <v>52658</v>
      </c>
      <c r="B2659">
        <v>3224</v>
      </c>
      <c r="C2659">
        <v>2009</v>
      </c>
      <c r="D2659" s="7">
        <v>45353</v>
      </c>
      <c r="E2659" t="s">
        <v>212</v>
      </c>
      <c r="F2659" t="s">
        <v>214</v>
      </c>
      <c r="H2659" s="7">
        <v>45374</v>
      </c>
      <c r="I2659" t="s">
        <v>217</v>
      </c>
    </row>
    <row r="2660" spans="1:9">
      <c r="A2660">
        <v>52659</v>
      </c>
      <c r="B2660">
        <v>3224</v>
      </c>
      <c r="C2660">
        <v>2009</v>
      </c>
      <c r="D2660" s="7">
        <v>45366</v>
      </c>
      <c r="E2660" t="s">
        <v>201</v>
      </c>
      <c r="F2660" t="s">
        <v>213</v>
      </c>
      <c r="H2660" s="7">
        <v>45373</v>
      </c>
      <c r="I2660" t="s">
        <v>211</v>
      </c>
    </row>
    <row r="2661" spans="1:9">
      <c r="A2661">
        <v>52660</v>
      </c>
      <c r="B2661">
        <v>3224</v>
      </c>
      <c r="C2661">
        <v>2009</v>
      </c>
      <c r="D2661" s="7">
        <v>45370</v>
      </c>
      <c r="E2661" t="s">
        <v>212</v>
      </c>
      <c r="F2661" t="s">
        <v>213</v>
      </c>
      <c r="H2661" s="7">
        <v>45391</v>
      </c>
      <c r="I2661" t="s">
        <v>207</v>
      </c>
    </row>
    <row r="2662" spans="1:9">
      <c r="A2662">
        <v>52661</v>
      </c>
      <c r="B2662">
        <v>3224</v>
      </c>
      <c r="C2662">
        <v>2009</v>
      </c>
      <c r="D2662" s="7">
        <v>45709</v>
      </c>
      <c r="E2662" t="s">
        <v>208</v>
      </c>
      <c r="F2662" t="s">
        <v>202</v>
      </c>
      <c r="G2662">
        <v>10</v>
      </c>
      <c r="H2662" s="7">
        <v>45716</v>
      </c>
      <c r="I2662" t="s">
        <v>209</v>
      </c>
    </row>
    <row r="2663" spans="1:9">
      <c r="A2663">
        <v>52662</v>
      </c>
      <c r="B2663">
        <v>3224</v>
      </c>
      <c r="C2663">
        <v>2009</v>
      </c>
      <c r="D2663" s="7">
        <v>45764</v>
      </c>
      <c r="E2663" t="s">
        <v>204</v>
      </c>
      <c r="F2663" t="s">
        <v>202</v>
      </c>
      <c r="G2663">
        <v>45</v>
      </c>
      <c r="H2663" s="7">
        <v>45771</v>
      </c>
      <c r="I2663" t="s">
        <v>206</v>
      </c>
    </row>
    <row r="2664" spans="1:9">
      <c r="A2664">
        <v>52663</v>
      </c>
      <c r="B2664">
        <v>3224</v>
      </c>
      <c r="C2664">
        <v>2009</v>
      </c>
      <c r="D2664" s="7">
        <v>45862</v>
      </c>
      <c r="E2664" t="s">
        <v>210</v>
      </c>
      <c r="F2664" t="s">
        <v>215</v>
      </c>
      <c r="G2664">
        <v>90</v>
      </c>
      <c r="H2664" s="7">
        <v>45883</v>
      </c>
      <c r="I2664" t="s">
        <v>211</v>
      </c>
    </row>
    <row r="2665" spans="1:9">
      <c r="A2665">
        <v>52664</v>
      </c>
      <c r="B2665">
        <v>3225</v>
      </c>
      <c r="C2665">
        <v>2015</v>
      </c>
      <c r="D2665" s="7">
        <v>46020</v>
      </c>
      <c r="E2665" t="s">
        <v>212</v>
      </c>
      <c r="F2665" t="s">
        <v>214</v>
      </c>
      <c r="H2665" s="7">
        <v>46027</v>
      </c>
      <c r="I2665" t="s">
        <v>206</v>
      </c>
    </row>
    <row r="2666" spans="1:9">
      <c r="A2666">
        <v>52665</v>
      </c>
      <c r="B2666">
        <v>3225</v>
      </c>
      <c r="C2666">
        <v>2015</v>
      </c>
      <c r="D2666" s="7">
        <v>46024</v>
      </c>
      <c r="E2666" t="s">
        <v>210</v>
      </c>
      <c r="F2666" t="s">
        <v>202</v>
      </c>
      <c r="G2666">
        <v>15</v>
      </c>
      <c r="H2666" s="7">
        <v>46027</v>
      </c>
      <c r="I2666" t="s">
        <v>209</v>
      </c>
    </row>
    <row r="2667" spans="1:9">
      <c r="A2667">
        <v>52666</v>
      </c>
      <c r="B2667">
        <v>3225</v>
      </c>
      <c r="C2667">
        <v>2015</v>
      </c>
      <c r="D2667" s="7">
        <v>46032</v>
      </c>
      <c r="E2667" t="s">
        <v>201</v>
      </c>
      <c r="F2667" t="s">
        <v>218</v>
      </c>
      <c r="H2667" s="7"/>
      <c r="I2667" t="s">
        <v>203</v>
      </c>
    </row>
    <row r="2668" spans="1:9">
      <c r="A2668">
        <v>52667</v>
      </c>
      <c r="B2668">
        <v>3225</v>
      </c>
      <c r="C2668">
        <v>2015</v>
      </c>
      <c r="D2668" s="7">
        <v>46040</v>
      </c>
      <c r="E2668" t="s">
        <v>219</v>
      </c>
      <c r="F2668" t="s">
        <v>202</v>
      </c>
      <c r="G2668">
        <v>45</v>
      </c>
      <c r="H2668" s="7">
        <v>46043</v>
      </c>
      <c r="I2668" t="s">
        <v>211</v>
      </c>
    </row>
    <row r="2669" spans="1:9">
      <c r="A2669">
        <v>52668</v>
      </c>
      <c r="B2669">
        <v>3225</v>
      </c>
      <c r="C2669">
        <v>2015</v>
      </c>
      <c r="D2669" s="7">
        <v>46040</v>
      </c>
      <c r="E2669" t="s">
        <v>210</v>
      </c>
      <c r="F2669" t="s">
        <v>213</v>
      </c>
      <c r="H2669" s="7">
        <v>46047</v>
      </c>
      <c r="I2669" t="s">
        <v>216</v>
      </c>
    </row>
    <row r="2670" spans="1:9">
      <c r="A2670">
        <v>52669</v>
      </c>
      <c r="B2670">
        <v>3225</v>
      </c>
      <c r="C2670">
        <v>2015</v>
      </c>
      <c r="D2670" s="7">
        <v>46049</v>
      </c>
      <c r="E2670" t="s">
        <v>208</v>
      </c>
      <c r="F2670" t="s">
        <v>214</v>
      </c>
      <c r="H2670" s="7">
        <v>46079</v>
      </c>
      <c r="I2670" t="s">
        <v>211</v>
      </c>
    </row>
    <row r="2671" spans="1:9">
      <c r="A2671">
        <v>52670</v>
      </c>
      <c r="B2671">
        <v>3225</v>
      </c>
      <c r="C2671">
        <v>2015</v>
      </c>
      <c r="D2671" s="7">
        <v>46059</v>
      </c>
      <c r="E2671" t="s">
        <v>201</v>
      </c>
      <c r="F2671" t="s">
        <v>202</v>
      </c>
      <c r="G2671">
        <v>15</v>
      </c>
      <c r="H2671" s="7">
        <v>46073</v>
      </c>
      <c r="I2671" t="s">
        <v>211</v>
      </c>
    </row>
    <row r="2672" spans="1:9">
      <c r="A2672">
        <v>52671</v>
      </c>
      <c r="B2672">
        <v>3225</v>
      </c>
      <c r="C2672">
        <v>2015</v>
      </c>
      <c r="D2672" s="7">
        <v>46074</v>
      </c>
      <c r="E2672" t="s">
        <v>201</v>
      </c>
      <c r="F2672" t="s">
        <v>202</v>
      </c>
      <c r="G2672">
        <v>60</v>
      </c>
      <c r="H2672" s="7">
        <v>46088</v>
      </c>
      <c r="I2672" t="s">
        <v>207</v>
      </c>
    </row>
    <row r="2673" spans="1:9">
      <c r="A2673">
        <v>52672</v>
      </c>
      <c r="B2673">
        <v>3225</v>
      </c>
      <c r="C2673">
        <v>2015</v>
      </c>
      <c r="D2673" s="7">
        <v>46086</v>
      </c>
      <c r="E2673" t="s">
        <v>208</v>
      </c>
      <c r="F2673" t="s">
        <v>202</v>
      </c>
      <c r="G2673">
        <v>45</v>
      </c>
      <c r="H2673" s="7">
        <v>46089</v>
      </c>
      <c r="I2673" t="s">
        <v>216</v>
      </c>
    </row>
    <row r="2674" spans="1:9">
      <c r="A2674">
        <v>52673</v>
      </c>
      <c r="B2674">
        <v>3225</v>
      </c>
      <c r="C2674">
        <v>2015</v>
      </c>
      <c r="D2674" s="7">
        <v>46089</v>
      </c>
      <c r="E2674" t="s">
        <v>212</v>
      </c>
      <c r="F2674" t="s">
        <v>202</v>
      </c>
      <c r="G2674">
        <v>30</v>
      </c>
      <c r="H2674" s="7">
        <v>46092</v>
      </c>
      <c r="I2674" t="s">
        <v>203</v>
      </c>
    </row>
    <row r="2675" spans="1:9">
      <c r="A2675">
        <v>52674</v>
      </c>
      <c r="B2675">
        <v>3225</v>
      </c>
      <c r="C2675">
        <v>2015</v>
      </c>
      <c r="D2675" s="7">
        <v>46089</v>
      </c>
      <c r="E2675" t="s">
        <v>219</v>
      </c>
      <c r="F2675" t="s">
        <v>202</v>
      </c>
      <c r="G2675">
        <v>20</v>
      </c>
      <c r="H2675" s="7">
        <v>46119</v>
      </c>
      <c r="I2675" t="s">
        <v>211</v>
      </c>
    </row>
    <row r="2676" spans="1:9">
      <c r="A2676">
        <v>52675</v>
      </c>
      <c r="B2676">
        <v>3225</v>
      </c>
      <c r="C2676">
        <v>2015</v>
      </c>
      <c r="D2676" s="7">
        <v>46093</v>
      </c>
      <c r="E2676" t="s">
        <v>212</v>
      </c>
      <c r="F2676" t="s">
        <v>214</v>
      </c>
      <c r="H2676" s="7">
        <v>46107</v>
      </c>
      <c r="I2676" t="s">
        <v>207</v>
      </c>
    </row>
    <row r="2677" spans="1:9">
      <c r="A2677">
        <v>52676</v>
      </c>
      <c r="B2677">
        <v>3225</v>
      </c>
      <c r="C2677">
        <v>2015</v>
      </c>
      <c r="D2677" s="7">
        <v>46139</v>
      </c>
      <c r="E2677" t="s">
        <v>204</v>
      </c>
      <c r="F2677" t="s">
        <v>202</v>
      </c>
      <c r="G2677">
        <v>60</v>
      </c>
      <c r="H2677" s="7">
        <v>46153</v>
      </c>
      <c r="I2677" t="s">
        <v>206</v>
      </c>
    </row>
    <row r="2678" spans="1:9">
      <c r="A2678">
        <v>52677</v>
      </c>
      <c r="B2678">
        <v>3225</v>
      </c>
      <c r="C2678">
        <v>2015</v>
      </c>
      <c r="D2678" s="7">
        <v>46163</v>
      </c>
      <c r="E2678" t="s">
        <v>212</v>
      </c>
      <c r="F2678" t="s">
        <v>213</v>
      </c>
      <c r="H2678" s="7">
        <v>46193</v>
      </c>
      <c r="I2678" t="s">
        <v>206</v>
      </c>
    </row>
    <row r="2679" spans="1:9">
      <c r="A2679">
        <v>52678</v>
      </c>
      <c r="B2679">
        <v>3225</v>
      </c>
      <c r="C2679">
        <v>2015</v>
      </c>
      <c r="D2679" s="7">
        <v>46181</v>
      </c>
      <c r="E2679" t="s">
        <v>212</v>
      </c>
      <c r="F2679" t="s">
        <v>202</v>
      </c>
      <c r="G2679">
        <v>30</v>
      </c>
      <c r="H2679" s="7">
        <v>46211</v>
      </c>
      <c r="I2679" t="s">
        <v>217</v>
      </c>
    </row>
    <row r="2680" spans="1:9">
      <c r="A2680">
        <v>52679</v>
      </c>
      <c r="B2680">
        <v>3225</v>
      </c>
      <c r="C2680">
        <v>2015</v>
      </c>
      <c r="D2680" s="7">
        <v>46188</v>
      </c>
      <c r="E2680" t="s">
        <v>219</v>
      </c>
      <c r="F2680" t="s">
        <v>218</v>
      </c>
      <c r="H2680" s="7"/>
      <c r="I2680" t="s">
        <v>216</v>
      </c>
    </row>
    <row r="2681" spans="1:9">
      <c r="A2681">
        <v>52680</v>
      </c>
      <c r="B2681">
        <v>3225</v>
      </c>
      <c r="C2681">
        <v>2015</v>
      </c>
      <c r="D2681" s="7">
        <v>46211</v>
      </c>
      <c r="E2681" t="s">
        <v>204</v>
      </c>
      <c r="F2681" t="s">
        <v>202</v>
      </c>
      <c r="G2681">
        <v>90</v>
      </c>
      <c r="H2681" s="7"/>
      <c r="I2681" t="s">
        <v>209</v>
      </c>
    </row>
    <row r="2682" spans="1:9">
      <c r="A2682">
        <v>52681</v>
      </c>
      <c r="B2682">
        <v>3226</v>
      </c>
      <c r="C2682">
        <v>2002</v>
      </c>
      <c r="D2682" s="7">
        <v>45759</v>
      </c>
      <c r="E2682" t="s">
        <v>204</v>
      </c>
      <c r="F2682" t="s">
        <v>218</v>
      </c>
      <c r="H2682" s="7"/>
      <c r="I2682" t="s">
        <v>216</v>
      </c>
    </row>
    <row r="2683" spans="1:9">
      <c r="A2683">
        <v>52682</v>
      </c>
      <c r="B2683">
        <v>3226</v>
      </c>
      <c r="C2683">
        <v>2002</v>
      </c>
      <c r="D2683" s="7">
        <v>45825</v>
      </c>
      <c r="E2683" t="s">
        <v>219</v>
      </c>
      <c r="F2683" t="s">
        <v>213</v>
      </c>
      <c r="H2683" s="7">
        <v>45846</v>
      </c>
      <c r="I2683" t="s">
        <v>217</v>
      </c>
    </row>
    <row r="2684" spans="1:9">
      <c r="A2684">
        <v>52683</v>
      </c>
      <c r="B2684">
        <v>3226</v>
      </c>
      <c r="C2684">
        <v>2002</v>
      </c>
      <c r="D2684" s="7">
        <v>45885</v>
      </c>
      <c r="E2684" t="s">
        <v>219</v>
      </c>
      <c r="F2684" t="s">
        <v>205</v>
      </c>
      <c r="H2684" s="7"/>
      <c r="I2684" t="s">
        <v>217</v>
      </c>
    </row>
    <row r="2685" spans="1:9">
      <c r="A2685">
        <v>52684</v>
      </c>
      <c r="B2685">
        <v>3226</v>
      </c>
      <c r="C2685">
        <v>2002</v>
      </c>
      <c r="D2685" s="7">
        <v>46060</v>
      </c>
      <c r="E2685" t="s">
        <v>210</v>
      </c>
      <c r="F2685" t="s">
        <v>213</v>
      </c>
      <c r="H2685" s="7">
        <v>46063</v>
      </c>
      <c r="I2685" t="s">
        <v>217</v>
      </c>
    </row>
    <row r="2686" spans="1:9">
      <c r="A2686">
        <v>52685</v>
      </c>
      <c r="B2686">
        <v>3226</v>
      </c>
      <c r="C2686">
        <v>2002</v>
      </c>
      <c r="D2686" s="7">
        <v>46170</v>
      </c>
      <c r="E2686" t="s">
        <v>210</v>
      </c>
      <c r="F2686" t="s">
        <v>215</v>
      </c>
      <c r="G2686">
        <v>15</v>
      </c>
      <c r="H2686" s="7">
        <v>46191</v>
      </c>
      <c r="I2686" t="s">
        <v>216</v>
      </c>
    </row>
    <row r="2687" spans="1:9">
      <c r="A2687">
        <v>52686</v>
      </c>
      <c r="B2687">
        <v>3226</v>
      </c>
      <c r="C2687">
        <v>2002</v>
      </c>
      <c r="D2687" s="7">
        <v>46171</v>
      </c>
      <c r="E2687" t="s">
        <v>212</v>
      </c>
      <c r="F2687" t="s">
        <v>202</v>
      </c>
      <c r="G2687">
        <v>45</v>
      </c>
      <c r="H2687" s="7">
        <v>46185</v>
      </c>
      <c r="I2687" t="s">
        <v>209</v>
      </c>
    </row>
    <row r="2688" spans="1:9">
      <c r="A2688">
        <v>52687</v>
      </c>
      <c r="B2688">
        <v>3226</v>
      </c>
      <c r="C2688">
        <v>2002</v>
      </c>
      <c r="D2688" s="7">
        <v>46213</v>
      </c>
      <c r="E2688" t="s">
        <v>201</v>
      </c>
      <c r="F2688" t="s">
        <v>202</v>
      </c>
      <c r="G2688">
        <v>10</v>
      </c>
      <c r="H2688" s="7"/>
      <c r="I2688" t="s">
        <v>211</v>
      </c>
    </row>
    <row r="2689" spans="1:9">
      <c r="A2689">
        <v>52688</v>
      </c>
      <c r="B2689">
        <v>3227</v>
      </c>
      <c r="C2689">
        <v>2018</v>
      </c>
      <c r="D2689" s="7">
        <v>45507</v>
      </c>
      <c r="E2689" t="s">
        <v>219</v>
      </c>
      <c r="F2689" t="s">
        <v>202</v>
      </c>
      <c r="G2689">
        <v>20</v>
      </c>
      <c r="H2689" s="7">
        <v>45514</v>
      </c>
      <c r="I2689" t="s">
        <v>216</v>
      </c>
    </row>
    <row r="2690" spans="1:9">
      <c r="A2690">
        <v>52689</v>
      </c>
      <c r="B2690">
        <v>3227</v>
      </c>
      <c r="C2690">
        <v>2018</v>
      </c>
      <c r="D2690" s="7">
        <v>45587</v>
      </c>
      <c r="E2690" t="s">
        <v>212</v>
      </c>
      <c r="F2690" t="s">
        <v>214</v>
      </c>
      <c r="H2690" s="7">
        <v>45590</v>
      </c>
      <c r="I2690" t="s">
        <v>216</v>
      </c>
    </row>
    <row r="2691" spans="1:9">
      <c r="A2691">
        <v>52690</v>
      </c>
      <c r="B2691">
        <v>3227</v>
      </c>
      <c r="C2691">
        <v>2018</v>
      </c>
      <c r="D2691" s="7">
        <v>45606</v>
      </c>
      <c r="E2691" t="s">
        <v>208</v>
      </c>
      <c r="F2691" t="s">
        <v>205</v>
      </c>
      <c r="H2691" s="7"/>
      <c r="I2691" t="s">
        <v>211</v>
      </c>
    </row>
    <row r="2692" spans="1:9">
      <c r="A2692">
        <v>52691</v>
      </c>
      <c r="B2692">
        <v>3227</v>
      </c>
      <c r="C2692">
        <v>2018</v>
      </c>
      <c r="D2692" s="7">
        <v>45611</v>
      </c>
      <c r="E2692" t="s">
        <v>210</v>
      </c>
      <c r="F2692" t="s">
        <v>214</v>
      </c>
      <c r="H2692" s="7">
        <v>45641</v>
      </c>
      <c r="I2692" t="s">
        <v>209</v>
      </c>
    </row>
    <row r="2693" spans="1:9">
      <c r="A2693">
        <v>52692</v>
      </c>
      <c r="B2693">
        <v>3227</v>
      </c>
      <c r="C2693">
        <v>2018</v>
      </c>
      <c r="D2693" s="7">
        <v>45620</v>
      </c>
      <c r="E2693" t="s">
        <v>210</v>
      </c>
      <c r="F2693" t="s">
        <v>213</v>
      </c>
      <c r="H2693" s="7">
        <v>45634</v>
      </c>
      <c r="I2693" t="s">
        <v>206</v>
      </c>
    </row>
    <row r="2694" spans="1:9">
      <c r="A2694">
        <v>52693</v>
      </c>
      <c r="B2694">
        <v>3227</v>
      </c>
      <c r="C2694">
        <v>2018</v>
      </c>
      <c r="D2694" s="7">
        <v>45657</v>
      </c>
      <c r="E2694" t="s">
        <v>210</v>
      </c>
      <c r="F2694" t="s">
        <v>213</v>
      </c>
      <c r="H2694" s="7">
        <v>45687</v>
      </c>
      <c r="I2694" t="s">
        <v>209</v>
      </c>
    </row>
    <row r="2695" spans="1:9">
      <c r="A2695">
        <v>52694</v>
      </c>
      <c r="B2695">
        <v>3227</v>
      </c>
      <c r="C2695">
        <v>2018</v>
      </c>
      <c r="D2695" s="7">
        <v>45664</v>
      </c>
      <c r="E2695" t="s">
        <v>219</v>
      </c>
      <c r="F2695" t="s">
        <v>202</v>
      </c>
      <c r="G2695">
        <v>30</v>
      </c>
      <c r="H2695" s="7">
        <v>45671</v>
      </c>
      <c r="I2695" t="s">
        <v>207</v>
      </c>
    </row>
    <row r="2696" spans="1:9">
      <c r="A2696">
        <v>52695</v>
      </c>
      <c r="B2696">
        <v>3227</v>
      </c>
      <c r="C2696">
        <v>2018</v>
      </c>
      <c r="D2696" s="7">
        <v>45673</v>
      </c>
      <c r="E2696" t="s">
        <v>210</v>
      </c>
      <c r="F2696" t="s">
        <v>213</v>
      </c>
      <c r="H2696" s="7">
        <v>45680</v>
      </c>
      <c r="I2696" t="s">
        <v>207</v>
      </c>
    </row>
    <row r="2697" spans="1:9">
      <c r="A2697">
        <v>52696</v>
      </c>
      <c r="B2697">
        <v>3227</v>
      </c>
      <c r="C2697">
        <v>2018</v>
      </c>
      <c r="D2697" s="7">
        <v>45712</v>
      </c>
      <c r="E2697" t="s">
        <v>201</v>
      </c>
      <c r="F2697" t="s">
        <v>202</v>
      </c>
      <c r="G2697">
        <v>15</v>
      </c>
      <c r="H2697" s="7">
        <v>45742</v>
      </c>
      <c r="I2697" t="s">
        <v>216</v>
      </c>
    </row>
    <row r="2698" spans="1:9">
      <c r="A2698">
        <v>52697</v>
      </c>
      <c r="B2698">
        <v>3227</v>
      </c>
      <c r="C2698">
        <v>2018</v>
      </c>
      <c r="D2698" s="7">
        <v>45748</v>
      </c>
      <c r="E2698" t="s">
        <v>219</v>
      </c>
      <c r="F2698" t="s">
        <v>214</v>
      </c>
      <c r="H2698" s="7">
        <v>45778</v>
      </c>
      <c r="I2698" t="s">
        <v>216</v>
      </c>
    </row>
    <row r="2699" spans="1:9">
      <c r="A2699">
        <v>52698</v>
      </c>
      <c r="B2699">
        <v>3227</v>
      </c>
      <c r="C2699">
        <v>2018</v>
      </c>
      <c r="D2699" s="7">
        <v>45761</v>
      </c>
      <c r="E2699" t="s">
        <v>212</v>
      </c>
      <c r="F2699" t="s">
        <v>202</v>
      </c>
      <c r="G2699">
        <v>15</v>
      </c>
      <c r="H2699" s="7">
        <v>45791</v>
      </c>
      <c r="I2699" t="s">
        <v>217</v>
      </c>
    </row>
    <row r="2700" spans="1:9">
      <c r="A2700">
        <v>52699</v>
      </c>
      <c r="B2700">
        <v>3227</v>
      </c>
      <c r="C2700">
        <v>2018</v>
      </c>
      <c r="D2700" s="7">
        <v>45763</v>
      </c>
      <c r="E2700" t="s">
        <v>210</v>
      </c>
      <c r="F2700" t="s">
        <v>215</v>
      </c>
      <c r="G2700">
        <v>15</v>
      </c>
      <c r="H2700" s="7">
        <v>45766</v>
      </c>
      <c r="I2700" t="s">
        <v>211</v>
      </c>
    </row>
    <row r="2701" spans="1:9">
      <c r="A2701">
        <v>52700</v>
      </c>
      <c r="B2701">
        <v>3227</v>
      </c>
      <c r="C2701">
        <v>2018</v>
      </c>
      <c r="D2701" s="7">
        <v>45769</v>
      </c>
      <c r="E2701" t="s">
        <v>208</v>
      </c>
      <c r="F2701" t="s">
        <v>202</v>
      </c>
      <c r="G2701">
        <v>20</v>
      </c>
      <c r="H2701" s="7">
        <v>45776</v>
      </c>
      <c r="I2701" t="s">
        <v>217</v>
      </c>
    </row>
    <row r="2702" spans="1:9">
      <c r="A2702">
        <v>52701</v>
      </c>
      <c r="B2702">
        <v>3227</v>
      </c>
      <c r="C2702">
        <v>2018</v>
      </c>
      <c r="D2702" s="7">
        <v>45831</v>
      </c>
      <c r="E2702" t="s">
        <v>219</v>
      </c>
      <c r="F2702" t="s">
        <v>202</v>
      </c>
      <c r="G2702">
        <v>60</v>
      </c>
      <c r="H2702" s="7">
        <v>45834</v>
      </c>
      <c r="I2702" t="s">
        <v>216</v>
      </c>
    </row>
    <row r="2703" spans="1:9">
      <c r="A2703">
        <v>52702</v>
      </c>
      <c r="B2703">
        <v>3227</v>
      </c>
      <c r="C2703">
        <v>2018</v>
      </c>
      <c r="D2703" s="7">
        <v>45927</v>
      </c>
      <c r="E2703" t="s">
        <v>204</v>
      </c>
      <c r="F2703" t="s">
        <v>202</v>
      </c>
      <c r="G2703">
        <v>45</v>
      </c>
      <c r="H2703" s="7">
        <v>45934</v>
      </c>
      <c r="I2703" t="s">
        <v>206</v>
      </c>
    </row>
    <row r="2704" spans="1:9">
      <c r="A2704">
        <v>52703</v>
      </c>
      <c r="B2704">
        <v>3228</v>
      </c>
      <c r="C2704">
        <v>2018</v>
      </c>
      <c r="D2704" s="7">
        <v>46146</v>
      </c>
      <c r="E2704" t="s">
        <v>219</v>
      </c>
      <c r="F2704" t="s">
        <v>205</v>
      </c>
      <c r="H2704" s="7"/>
      <c r="I2704" t="s">
        <v>203</v>
      </c>
    </row>
    <row r="2705" spans="1:9">
      <c r="A2705">
        <v>52704</v>
      </c>
      <c r="B2705">
        <v>3228</v>
      </c>
      <c r="C2705">
        <v>2018</v>
      </c>
      <c r="D2705" s="7">
        <v>46155</v>
      </c>
      <c r="E2705" t="s">
        <v>212</v>
      </c>
      <c r="F2705" t="s">
        <v>214</v>
      </c>
      <c r="H2705" s="7">
        <v>46162</v>
      </c>
      <c r="I2705" t="s">
        <v>211</v>
      </c>
    </row>
    <row r="2706" spans="1:9">
      <c r="A2706">
        <v>52705</v>
      </c>
      <c r="B2706">
        <v>3228</v>
      </c>
      <c r="C2706">
        <v>2018</v>
      </c>
      <c r="D2706" s="7">
        <v>46167</v>
      </c>
      <c r="E2706" t="s">
        <v>204</v>
      </c>
      <c r="F2706" t="s">
        <v>202</v>
      </c>
      <c r="G2706">
        <v>15</v>
      </c>
      <c r="H2706" s="7">
        <v>46188</v>
      </c>
      <c r="I2706" t="s">
        <v>207</v>
      </c>
    </row>
    <row r="2707" spans="1:9">
      <c r="A2707">
        <v>52706</v>
      </c>
      <c r="B2707">
        <v>3228</v>
      </c>
      <c r="C2707">
        <v>2018</v>
      </c>
      <c r="D2707" s="7">
        <v>46168</v>
      </c>
      <c r="E2707" t="s">
        <v>204</v>
      </c>
      <c r="F2707" t="s">
        <v>215</v>
      </c>
      <c r="G2707">
        <v>15</v>
      </c>
      <c r="H2707" s="7">
        <v>46198</v>
      </c>
      <c r="I2707" t="s">
        <v>209</v>
      </c>
    </row>
    <row r="2708" spans="1:9">
      <c r="A2708">
        <v>52707</v>
      </c>
      <c r="B2708">
        <v>3228</v>
      </c>
      <c r="C2708">
        <v>2018</v>
      </c>
      <c r="D2708" s="7">
        <v>46177</v>
      </c>
      <c r="E2708" t="s">
        <v>212</v>
      </c>
      <c r="F2708" t="s">
        <v>202</v>
      </c>
      <c r="G2708">
        <v>90</v>
      </c>
      <c r="H2708" s="7">
        <v>46191</v>
      </c>
      <c r="I2708" t="s">
        <v>203</v>
      </c>
    </row>
    <row r="2709" spans="1:9">
      <c r="A2709">
        <v>52708</v>
      </c>
      <c r="B2709">
        <v>3228</v>
      </c>
      <c r="C2709">
        <v>2018</v>
      </c>
      <c r="D2709" s="7">
        <v>46183</v>
      </c>
      <c r="E2709" t="s">
        <v>212</v>
      </c>
      <c r="F2709" t="s">
        <v>202</v>
      </c>
      <c r="G2709">
        <v>30</v>
      </c>
      <c r="H2709" s="7">
        <v>46190</v>
      </c>
      <c r="I2709" t="s">
        <v>206</v>
      </c>
    </row>
    <row r="2710" spans="1:9">
      <c r="A2710">
        <v>52709</v>
      </c>
      <c r="B2710">
        <v>3228</v>
      </c>
      <c r="C2710">
        <v>2018</v>
      </c>
      <c r="D2710" s="7">
        <v>46187</v>
      </c>
      <c r="E2710" t="s">
        <v>212</v>
      </c>
      <c r="F2710" t="s">
        <v>202</v>
      </c>
      <c r="G2710">
        <v>15</v>
      </c>
      <c r="H2710" s="7">
        <v>46194</v>
      </c>
      <c r="I2710" t="s">
        <v>217</v>
      </c>
    </row>
    <row r="2711" spans="1:9">
      <c r="A2711">
        <v>52710</v>
      </c>
      <c r="B2711">
        <v>3228</v>
      </c>
      <c r="C2711">
        <v>2018</v>
      </c>
      <c r="D2711" s="7">
        <v>46193</v>
      </c>
      <c r="E2711" t="s">
        <v>212</v>
      </c>
      <c r="F2711" t="s">
        <v>202</v>
      </c>
      <c r="G2711">
        <v>30</v>
      </c>
      <c r="H2711" s="7">
        <v>46214</v>
      </c>
      <c r="I2711" t="s">
        <v>207</v>
      </c>
    </row>
    <row r="2712" spans="1:9">
      <c r="A2712">
        <v>52711</v>
      </c>
      <c r="B2712">
        <v>3228</v>
      </c>
      <c r="C2712">
        <v>2018</v>
      </c>
      <c r="D2712" s="7">
        <v>46197</v>
      </c>
      <c r="E2712" t="s">
        <v>212</v>
      </c>
      <c r="F2712" t="s">
        <v>218</v>
      </c>
      <c r="H2712" s="7"/>
      <c r="I2712" t="s">
        <v>216</v>
      </c>
    </row>
    <row r="2713" spans="1:9">
      <c r="A2713">
        <v>52712</v>
      </c>
      <c r="B2713">
        <v>3228</v>
      </c>
      <c r="C2713">
        <v>2018</v>
      </c>
      <c r="D2713" s="7">
        <v>46200</v>
      </c>
      <c r="E2713" t="s">
        <v>212</v>
      </c>
      <c r="F2713" t="s">
        <v>202</v>
      </c>
      <c r="G2713">
        <v>60</v>
      </c>
      <c r="H2713" s="7">
        <v>46207</v>
      </c>
      <c r="I2713" t="s">
        <v>211</v>
      </c>
    </row>
    <row r="2714" spans="1:9">
      <c r="A2714">
        <v>52713</v>
      </c>
      <c r="B2714">
        <v>3228</v>
      </c>
      <c r="C2714">
        <v>2018</v>
      </c>
      <c r="D2714" s="7">
        <v>46214</v>
      </c>
      <c r="E2714" t="s">
        <v>212</v>
      </c>
      <c r="F2714" t="s">
        <v>202</v>
      </c>
      <c r="G2714">
        <v>15</v>
      </c>
      <c r="H2714" s="7"/>
      <c r="I2714" t="s">
        <v>216</v>
      </c>
    </row>
    <row r="2715" spans="1:9">
      <c r="A2715">
        <v>52714</v>
      </c>
      <c r="B2715">
        <v>3229</v>
      </c>
      <c r="C2715">
        <v>2013</v>
      </c>
      <c r="D2715" s="7">
        <v>45825</v>
      </c>
      <c r="E2715" t="s">
        <v>201</v>
      </c>
      <c r="F2715" t="s">
        <v>205</v>
      </c>
      <c r="H2715" s="7"/>
      <c r="I2715" t="s">
        <v>216</v>
      </c>
    </row>
    <row r="2716" spans="1:9">
      <c r="A2716">
        <v>52715</v>
      </c>
      <c r="B2716">
        <v>3229</v>
      </c>
      <c r="C2716">
        <v>2013</v>
      </c>
      <c r="D2716" s="7">
        <v>45965</v>
      </c>
      <c r="E2716" t="s">
        <v>212</v>
      </c>
      <c r="F2716" t="s">
        <v>202</v>
      </c>
      <c r="G2716">
        <v>90</v>
      </c>
      <c r="H2716" s="7">
        <v>45972</v>
      </c>
      <c r="I2716" t="s">
        <v>206</v>
      </c>
    </row>
    <row r="2717" spans="1:9">
      <c r="A2717">
        <v>52716</v>
      </c>
      <c r="B2717">
        <v>3229</v>
      </c>
      <c r="C2717">
        <v>2013</v>
      </c>
      <c r="D2717" s="7">
        <v>46089</v>
      </c>
      <c r="E2717" t="s">
        <v>210</v>
      </c>
      <c r="F2717" t="s">
        <v>205</v>
      </c>
      <c r="H2717" s="7"/>
      <c r="I2717" t="s">
        <v>217</v>
      </c>
    </row>
    <row r="2718" spans="1:9">
      <c r="A2718">
        <v>52717</v>
      </c>
      <c r="B2718">
        <v>3229</v>
      </c>
      <c r="C2718">
        <v>2013</v>
      </c>
      <c r="D2718" s="7">
        <v>46109</v>
      </c>
      <c r="E2718" t="s">
        <v>204</v>
      </c>
      <c r="F2718" t="s">
        <v>202</v>
      </c>
      <c r="G2718">
        <v>30</v>
      </c>
      <c r="H2718" s="7">
        <v>46130</v>
      </c>
      <c r="I2718" t="s">
        <v>207</v>
      </c>
    </row>
    <row r="2719" spans="1:9">
      <c r="A2719">
        <v>52718</v>
      </c>
      <c r="B2719">
        <v>3230</v>
      </c>
      <c r="C2719">
        <v>2018</v>
      </c>
      <c r="D2719" s="7">
        <v>46050</v>
      </c>
      <c r="E2719" t="s">
        <v>201</v>
      </c>
      <c r="F2719" t="s">
        <v>214</v>
      </c>
      <c r="H2719" s="7">
        <v>46080</v>
      </c>
      <c r="I2719" t="s">
        <v>206</v>
      </c>
    </row>
    <row r="2720" spans="1:9">
      <c r="A2720">
        <v>52719</v>
      </c>
      <c r="B2720">
        <v>3230</v>
      </c>
      <c r="C2720">
        <v>2018</v>
      </c>
      <c r="D2720" s="7">
        <v>46074</v>
      </c>
      <c r="E2720" t="s">
        <v>204</v>
      </c>
      <c r="F2720" t="s">
        <v>202</v>
      </c>
      <c r="G2720">
        <v>15</v>
      </c>
      <c r="H2720" s="7">
        <v>46095</v>
      </c>
      <c r="I2720" t="s">
        <v>211</v>
      </c>
    </row>
    <row r="2721" spans="1:9">
      <c r="A2721">
        <v>52720</v>
      </c>
      <c r="B2721">
        <v>3230</v>
      </c>
      <c r="C2721">
        <v>2018</v>
      </c>
      <c r="D2721" s="7">
        <v>46076</v>
      </c>
      <c r="E2721" t="s">
        <v>201</v>
      </c>
      <c r="F2721" t="s">
        <v>202</v>
      </c>
      <c r="G2721">
        <v>45</v>
      </c>
      <c r="H2721" s="7">
        <v>46083</v>
      </c>
      <c r="I2721" t="s">
        <v>209</v>
      </c>
    </row>
    <row r="2722" spans="1:9">
      <c r="A2722">
        <v>52721</v>
      </c>
      <c r="B2722">
        <v>3230</v>
      </c>
      <c r="C2722">
        <v>2018</v>
      </c>
      <c r="D2722" s="7">
        <v>46111</v>
      </c>
      <c r="E2722" t="s">
        <v>219</v>
      </c>
      <c r="F2722" t="s">
        <v>202</v>
      </c>
      <c r="G2722">
        <v>20</v>
      </c>
      <c r="H2722" s="7">
        <v>46118</v>
      </c>
      <c r="I2722" t="s">
        <v>211</v>
      </c>
    </row>
    <row r="2723" spans="1:9">
      <c r="A2723">
        <v>52722</v>
      </c>
      <c r="B2723">
        <v>3230</v>
      </c>
      <c r="C2723">
        <v>2018</v>
      </c>
      <c r="D2723" s="7">
        <v>46111</v>
      </c>
      <c r="E2723" t="s">
        <v>201</v>
      </c>
      <c r="F2723" t="s">
        <v>202</v>
      </c>
      <c r="G2723">
        <v>30</v>
      </c>
      <c r="H2723" s="7">
        <v>46132</v>
      </c>
      <c r="I2723" t="s">
        <v>217</v>
      </c>
    </row>
    <row r="2724" spans="1:9">
      <c r="A2724">
        <v>52723</v>
      </c>
      <c r="B2724">
        <v>3230</v>
      </c>
      <c r="C2724">
        <v>2018</v>
      </c>
      <c r="D2724" s="7">
        <v>46122</v>
      </c>
      <c r="E2724" t="s">
        <v>212</v>
      </c>
      <c r="F2724" t="s">
        <v>202</v>
      </c>
      <c r="G2724">
        <v>90</v>
      </c>
      <c r="H2724" s="7">
        <v>46125</v>
      </c>
      <c r="I2724" t="s">
        <v>216</v>
      </c>
    </row>
    <row r="2725" spans="1:9">
      <c r="A2725">
        <v>52724</v>
      </c>
      <c r="B2725">
        <v>3230</v>
      </c>
      <c r="C2725">
        <v>2018</v>
      </c>
      <c r="D2725" s="7">
        <v>46127</v>
      </c>
      <c r="E2725" t="s">
        <v>204</v>
      </c>
      <c r="F2725" t="s">
        <v>202</v>
      </c>
      <c r="G2725">
        <v>45</v>
      </c>
      <c r="H2725" s="7">
        <v>46157</v>
      </c>
      <c r="I2725" t="s">
        <v>206</v>
      </c>
    </row>
    <row r="2726" spans="1:9">
      <c r="A2726">
        <v>52725</v>
      </c>
      <c r="B2726">
        <v>3231</v>
      </c>
      <c r="C2726">
        <v>2011</v>
      </c>
      <c r="D2726" s="7">
        <v>45838</v>
      </c>
      <c r="E2726" t="s">
        <v>219</v>
      </c>
      <c r="F2726" t="s">
        <v>202</v>
      </c>
      <c r="G2726">
        <v>30</v>
      </c>
      <c r="H2726" s="7">
        <v>45845</v>
      </c>
      <c r="I2726" t="s">
        <v>207</v>
      </c>
    </row>
    <row r="2727" spans="1:9">
      <c r="A2727">
        <v>52726</v>
      </c>
      <c r="B2727">
        <v>3231</v>
      </c>
      <c r="C2727">
        <v>2011</v>
      </c>
      <c r="D2727" s="7">
        <v>45905</v>
      </c>
      <c r="E2727" t="s">
        <v>212</v>
      </c>
      <c r="F2727" t="s">
        <v>214</v>
      </c>
      <c r="H2727" s="7">
        <v>45919</v>
      </c>
      <c r="I2727" t="s">
        <v>203</v>
      </c>
    </row>
    <row r="2728" spans="1:9">
      <c r="A2728">
        <v>52727</v>
      </c>
      <c r="B2728">
        <v>3231</v>
      </c>
      <c r="C2728">
        <v>2011</v>
      </c>
      <c r="D2728" s="7">
        <v>45934</v>
      </c>
      <c r="E2728" t="s">
        <v>212</v>
      </c>
      <c r="F2728" t="s">
        <v>202</v>
      </c>
      <c r="G2728">
        <v>15</v>
      </c>
      <c r="H2728" s="7">
        <v>45937</v>
      </c>
      <c r="I2728" t="s">
        <v>209</v>
      </c>
    </row>
    <row r="2729" spans="1:9">
      <c r="A2729">
        <v>52728</v>
      </c>
      <c r="B2729">
        <v>3231</v>
      </c>
      <c r="C2729">
        <v>2011</v>
      </c>
      <c r="D2729" s="7">
        <v>45995</v>
      </c>
      <c r="E2729" t="s">
        <v>212</v>
      </c>
      <c r="F2729" t="s">
        <v>202</v>
      </c>
      <c r="G2729">
        <v>10</v>
      </c>
      <c r="H2729" s="7">
        <v>46016</v>
      </c>
      <c r="I2729" t="s">
        <v>209</v>
      </c>
    </row>
    <row r="2730" spans="1:9">
      <c r="A2730">
        <v>52729</v>
      </c>
      <c r="B2730">
        <v>3231</v>
      </c>
      <c r="C2730">
        <v>2011</v>
      </c>
      <c r="D2730" s="7">
        <v>46035</v>
      </c>
      <c r="E2730" t="s">
        <v>212</v>
      </c>
      <c r="F2730" t="s">
        <v>202</v>
      </c>
      <c r="G2730">
        <v>60</v>
      </c>
      <c r="H2730" s="7">
        <v>46042</v>
      </c>
      <c r="I2730" t="s">
        <v>203</v>
      </c>
    </row>
    <row r="2731" spans="1:9">
      <c r="A2731">
        <v>52730</v>
      </c>
      <c r="B2731">
        <v>3231</v>
      </c>
      <c r="C2731">
        <v>2011</v>
      </c>
      <c r="D2731" s="7">
        <v>46054</v>
      </c>
      <c r="E2731" t="s">
        <v>208</v>
      </c>
      <c r="F2731" t="s">
        <v>202</v>
      </c>
      <c r="G2731">
        <v>15</v>
      </c>
      <c r="H2731" s="7">
        <v>46068</v>
      </c>
      <c r="I2731" t="s">
        <v>206</v>
      </c>
    </row>
    <row r="2732" spans="1:9">
      <c r="A2732">
        <v>52731</v>
      </c>
      <c r="B2732">
        <v>3231</v>
      </c>
      <c r="C2732">
        <v>2011</v>
      </c>
      <c r="D2732" s="7">
        <v>46087</v>
      </c>
      <c r="E2732" t="s">
        <v>204</v>
      </c>
      <c r="F2732" t="s">
        <v>202</v>
      </c>
      <c r="G2732">
        <v>10</v>
      </c>
      <c r="H2732" s="7">
        <v>46094</v>
      </c>
      <c r="I2732" t="s">
        <v>209</v>
      </c>
    </row>
    <row r="2733" spans="1:9">
      <c r="A2733">
        <v>52732</v>
      </c>
      <c r="B2733">
        <v>3231</v>
      </c>
      <c r="C2733">
        <v>2011</v>
      </c>
      <c r="D2733" s="7">
        <v>46146</v>
      </c>
      <c r="E2733" t="s">
        <v>212</v>
      </c>
      <c r="F2733" t="s">
        <v>202</v>
      </c>
      <c r="G2733">
        <v>45</v>
      </c>
      <c r="H2733" s="7">
        <v>46149</v>
      </c>
      <c r="I2733" t="s">
        <v>209</v>
      </c>
    </row>
    <row r="2734" spans="1:9">
      <c r="A2734">
        <v>52733</v>
      </c>
      <c r="B2734">
        <v>3232</v>
      </c>
      <c r="C2734">
        <v>2008</v>
      </c>
      <c r="D2734" s="7">
        <v>45916</v>
      </c>
      <c r="E2734" t="s">
        <v>212</v>
      </c>
      <c r="F2734" t="s">
        <v>202</v>
      </c>
      <c r="G2734">
        <v>90</v>
      </c>
      <c r="H2734" s="7">
        <v>45919</v>
      </c>
      <c r="I2734" t="s">
        <v>207</v>
      </c>
    </row>
    <row r="2735" spans="1:9">
      <c r="A2735">
        <v>52734</v>
      </c>
      <c r="B2735">
        <v>3232</v>
      </c>
      <c r="C2735">
        <v>2008</v>
      </c>
      <c r="D2735" s="7">
        <v>45917</v>
      </c>
      <c r="E2735" t="s">
        <v>212</v>
      </c>
      <c r="F2735" t="s">
        <v>202</v>
      </c>
      <c r="G2735">
        <v>20</v>
      </c>
      <c r="H2735" s="7">
        <v>45938</v>
      </c>
      <c r="I2735" t="s">
        <v>217</v>
      </c>
    </row>
    <row r="2736" spans="1:9">
      <c r="A2736">
        <v>52735</v>
      </c>
      <c r="B2736">
        <v>3232</v>
      </c>
      <c r="C2736">
        <v>2008</v>
      </c>
      <c r="D2736" s="7">
        <v>46076</v>
      </c>
      <c r="E2736" t="s">
        <v>210</v>
      </c>
      <c r="F2736" t="s">
        <v>214</v>
      </c>
      <c r="H2736" s="7">
        <v>46079</v>
      </c>
      <c r="I2736" t="s">
        <v>217</v>
      </c>
    </row>
    <row r="2737" spans="1:9">
      <c r="A2737">
        <v>52736</v>
      </c>
      <c r="B2737">
        <v>3232</v>
      </c>
      <c r="C2737">
        <v>2008</v>
      </c>
      <c r="D2737" s="7">
        <v>46095</v>
      </c>
      <c r="E2737" t="s">
        <v>201</v>
      </c>
      <c r="F2737" t="s">
        <v>214</v>
      </c>
      <c r="H2737" s="7">
        <v>46109</v>
      </c>
      <c r="I2737" t="s">
        <v>207</v>
      </c>
    </row>
    <row r="2738" spans="1:9">
      <c r="A2738">
        <v>52737</v>
      </c>
      <c r="B2738">
        <v>3233</v>
      </c>
      <c r="C2738">
        <v>2005</v>
      </c>
      <c r="D2738" s="7">
        <v>45902</v>
      </c>
      <c r="E2738" t="s">
        <v>204</v>
      </c>
      <c r="F2738" t="s">
        <v>218</v>
      </c>
      <c r="H2738" s="7"/>
      <c r="I2738" t="s">
        <v>203</v>
      </c>
    </row>
    <row r="2739" spans="1:9">
      <c r="A2739">
        <v>52738</v>
      </c>
      <c r="B2739">
        <v>3233</v>
      </c>
      <c r="C2739">
        <v>2005</v>
      </c>
      <c r="D2739" s="7">
        <v>45925</v>
      </c>
      <c r="E2739" t="s">
        <v>212</v>
      </c>
      <c r="F2739" t="s">
        <v>202</v>
      </c>
      <c r="G2739">
        <v>30</v>
      </c>
      <c r="H2739" s="7">
        <v>45939</v>
      </c>
      <c r="I2739" t="s">
        <v>203</v>
      </c>
    </row>
    <row r="2740" spans="1:9">
      <c r="A2740">
        <v>52739</v>
      </c>
      <c r="B2740">
        <v>3233</v>
      </c>
      <c r="C2740">
        <v>2005</v>
      </c>
      <c r="D2740" s="7">
        <v>45927</v>
      </c>
      <c r="E2740" t="s">
        <v>208</v>
      </c>
      <c r="F2740" t="s">
        <v>202</v>
      </c>
      <c r="G2740">
        <v>45</v>
      </c>
      <c r="H2740" s="7">
        <v>45930</v>
      </c>
      <c r="I2740" t="s">
        <v>217</v>
      </c>
    </row>
    <row r="2741" spans="1:9">
      <c r="A2741">
        <v>52740</v>
      </c>
      <c r="B2741">
        <v>3233</v>
      </c>
      <c r="C2741">
        <v>2005</v>
      </c>
      <c r="D2741" s="7">
        <v>45968</v>
      </c>
      <c r="E2741" t="s">
        <v>204</v>
      </c>
      <c r="F2741" t="s">
        <v>215</v>
      </c>
      <c r="G2741">
        <v>90</v>
      </c>
      <c r="H2741" s="7">
        <v>45975</v>
      </c>
      <c r="I2741" t="s">
        <v>203</v>
      </c>
    </row>
    <row r="2742" spans="1:9">
      <c r="A2742">
        <v>52741</v>
      </c>
      <c r="B2742">
        <v>3233</v>
      </c>
      <c r="C2742">
        <v>2005</v>
      </c>
      <c r="D2742" s="7">
        <v>46000</v>
      </c>
      <c r="E2742" t="s">
        <v>212</v>
      </c>
      <c r="F2742" t="s">
        <v>202</v>
      </c>
      <c r="G2742">
        <v>15</v>
      </c>
      <c r="H2742" s="7">
        <v>46014</v>
      </c>
      <c r="I2742" t="s">
        <v>217</v>
      </c>
    </row>
    <row r="2743" spans="1:9">
      <c r="A2743">
        <v>52742</v>
      </c>
      <c r="B2743">
        <v>3233</v>
      </c>
      <c r="C2743">
        <v>2005</v>
      </c>
      <c r="D2743" s="7">
        <v>46025</v>
      </c>
      <c r="E2743" t="s">
        <v>210</v>
      </c>
      <c r="F2743" t="s">
        <v>213</v>
      </c>
      <c r="H2743" s="7">
        <v>46039</v>
      </c>
      <c r="I2743" t="s">
        <v>207</v>
      </c>
    </row>
    <row r="2744" spans="1:9">
      <c r="A2744">
        <v>52743</v>
      </c>
      <c r="B2744">
        <v>3233</v>
      </c>
      <c r="C2744">
        <v>2005</v>
      </c>
      <c r="D2744" s="7">
        <v>46029</v>
      </c>
      <c r="E2744" t="s">
        <v>201</v>
      </c>
      <c r="F2744" t="s">
        <v>202</v>
      </c>
      <c r="G2744">
        <v>20</v>
      </c>
      <c r="H2744" s="7">
        <v>46036</v>
      </c>
      <c r="I2744" t="s">
        <v>211</v>
      </c>
    </row>
    <row r="2745" spans="1:9">
      <c r="A2745">
        <v>52744</v>
      </c>
      <c r="B2745">
        <v>3234</v>
      </c>
      <c r="C2745">
        <v>2002</v>
      </c>
      <c r="D2745" s="7">
        <v>46195</v>
      </c>
      <c r="E2745" t="s">
        <v>212</v>
      </c>
      <c r="F2745" t="s">
        <v>202</v>
      </c>
      <c r="G2745">
        <v>10</v>
      </c>
      <c r="H2745" s="7"/>
      <c r="I2745" t="s">
        <v>207</v>
      </c>
    </row>
    <row r="2746" spans="1:9">
      <c r="A2746">
        <v>52745</v>
      </c>
      <c r="B2746">
        <v>3234</v>
      </c>
      <c r="C2746">
        <v>2002</v>
      </c>
      <c r="D2746" s="7">
        <v>46196</v>
      </c>
      <c r="E2746" t="s">
        <v>210</v>
      </c>
      <c r="F2746" t="s">
        <v>213</v>
      </c>
      <c r="H2746" s="7">
        <v>46203</v>
      </c>
      <c r="I2746" t="s">
        <v>209</v>
      </c>
    </row>
    <row r="2747" spans="1:9">
      <c r="A2747">
        <v>52746</v>
      </c>
      <c r="B2747">
        <v>3234</v>
      </c>
      <c r="C2747">
        <v>2002</v>
      </c>
      <c r="D2747" s="7">
        <v>46197</v>
      </c>
      <c r="E2747" t="s">
        <v>212</v>
      </c>
      <c r="F2747" t="s">
        <v>213</v>
      </c>
      <c r="H2747" s="7"/>
      <c r="I2747" t="s">
        <v>216</v>
      </c>
    </row>
    <row r="2748" spans="1:9">
      <c r="A2748">
        <v>52747</v>
      </c>
      <c r="B2748">
        <v>3234</v>
      </c>
      <c r="C2748">
        <v>2002</v>
      </c>
      <c r="D2748" s="7">
        <v>46199</v>
      </c>
      <c r="E2748" t="s">
        <v>204</v>
      </c>
      <c r="F2748" t="s">
        <v>202</v>
      </c>
      <c r="G2748">
        <v>20</v>
      </c>
      <c r="H2748" s="7">
        <v>46206</v>
      </c>
      <c r="I2748" t="s">
        <v>203</v>
      </c>
    </row>
    <row r="2749" spans="1:9">
      <c r="A2749">
        <v>52748</v>
      </c>
      <c r="B2749">
        <v>3234</v>
      </c>
      <c r="C2749">
        <v>2002</v>
      </c>
      <c r="D2749" s="7">
        <v>46200</v>
      </c>
      <c r="E2749" t="s">
        <v>210</v>
      </c>
      <c r="F2749" t="s">
        <v>214</v>
      </c>
      <c r="H2749" s="7"/>
      <c r="I2749" t="s">
        <v>216</v>
      </c>
    </row>
    <row r="2750" spans="1:9">
      <c r="A2750">
        <v>52749</v>
      </c>
      <c r="B2750">
        <v>3234</v>
      </c>
      <c r="C2750">
        <v>2002</v>
      </c>
      <c r="D2750" s="7">
        <v>46201</v>
      </c>
      <c r="E2750" t="s">
        <v>212</v>
      </c>
      <c r="F2750" t="s">
        <v>202</v>
      </c>
      <c r="G2750">
        <v>60</v>
      </c>
      <c r="H2750" s="7"/>
      <c r="I2750" t="s">
        <v>203</v>
      </c>
    </row>
    <row r="2751" spans="1:9">
      <c r="A2751">
        <v>52750</v>
      </c>
      <c r="B2751">
        <v>3234</v>
      </c>
      <c r="C2751">
        <v>2002</v>
      </c>
      <c r="D2751" s="7">
        <v>46203</v>
      </c>
      <c r="E2751" t="s">
        <v>204</v>
      </c>
      <c r="F2751" t="s">
        <v>213</v>
      </c>
      <c r="H2751" s="7">
        <v>46206</v>
      </c>
      <c r="I2751" t="s">
        <v>209</v>
      </c>
    </row>
    <row r="2752" spans="1:9">
      <c r="A2752">
        <v>52751</v>
      </c>
      <c r="B2752">
        <v>3234</v>
      </c>
      <c r="C2752">
        <v>2002</v>
      </c>
      <c r="D2752" s="7">
        <v>46204</v>
      </c>
      <c r="E2752" t="s">
        <v>212</v>
      </c>
      <c r="F2752" t="s">
        <v>205</v>
      </c>
      <c r="H2752" s="7"/>
      <c r="I2752" t="s">
        <v>216</v>
      </c>
    </row>
    <row r="2753" spans="1:9">
      <c r="A2753">
        <v>52752</v>
      </c>
      <c r="B2753">
        <v>3234</v>
      </c>
      <c r="C2753">
        <v>2002</v>
      </c>
      <c r="D2753" s="7">
        <v>46205</v>
      </c>
      <c r="E2753" t="s">
        <v>208</v>
      </c>
      <c r="F2753" t="s">
        <v>214</v>
      </c>
      <c r="H2753" s="7"/>
      <c r="I2753" t="s">
        <v>217</v>
      </c>
    </row>
    <row r="2754" spans="1:9">
      <c r="A2754">
        <v>52753</v>
      </c>
      <c r="B2754">
        <v>3234</v>
      </c>
      <c r="C2754">
        <v>2002</v>
      </c>
      <c r="D2754" s="7">
        <v>46207</v>
      </c>
      <c r="E2754" t="s">
        <v>212</v>
      </c>
      <c r="F2754" t="s">
        <v>214</v>
      </c>
      <c r="H2754" s="7"/>
      <c r="I2754" t="s">
        <v>207</v>
      </c>
    </row>
    <row r="2755" spans="1:9">
      <c r="A2755">
        <v>52754</v>
      </c>
      <c r="B2755">
        <v>3234</v>
      </c>
      <c r="C2755">
        <v>2002</v>
      </c>
      <c r="D2755" s="7">
        <v>46210</v>
      </c>
      <c r="E2755" t="s">
        <v>201</v>
      </c>
      <c r="F2755" t="s">
        <v>215</v>
      </c>
      <c r="G2755">
        <v>45</v>
      </c>
      <c r="H2755" s="7"/>
      <c r="I2755" t="s">
        <v>216</v>
      </c>
    </row>
    <row r="2756" spans="1:9">
      <c r="A2756">
        <v>52755</v>
      </c>
      <c r="B2756">
        <v>3234</v>
      </c>
      <c r="C2756">
        <v>2002</v>
      </c>
      <c r="D2756" s="7">
        <v>46212</v>
      </c>
      <c r="E2756" t="s">
        <v>219</v>
      </c>
      <c r="F2756" t="s">
        <v>205</v>
      </c>
      <c r="H2756" s="7"/>
      <c r="I2756" t="s">
        <v>211</v>
      </c>
    </row>
    <row r="2757" spans="1:9">
      <c r="A2757">
        <v>52756</v>
      </c>
      <c r="B2757">
        <v>3234</v>
      </c>
      <c r="C2757">
        <v>2002</v>
      </c>
      <c r="D2757" s="7">
        <v>46213</v>
      </c>
      <c r="E2757" t="s">
        <v>204</v>
      </c>
      <c r="F2757" t="s">
        <v>215</v>
      </c>
      <c r="G2757">
        <v>15</v>
      </c>
      <c r="H2757" s="7"/>
      <c r="I2757" t="s">
        <v>217</v>
      </c>
    </row>
    <row r="2758" spans="1:9">
      <c r="A2758">
        <v>52757</v>
      </c>
      <c r="B2758">
        <v>3234</v>
      </c>
      <c r="C2758">
        <v>2002</v>
      </c>
      <c r="D2758" s="7">
        <v>46214</v>
      </c>
      <c r="E2758" t="s">
        <v>208</v>
      </c>
      <c r="F2758" t="s">
        <v>202</v>
      </c>
      <c r="G2758">
        <v>10</v>
      </c>
      <c r="H2758" s="7"/>
      <c r="I2758" t="s">
        <v>216</v>
      </c>
    </row>
    <row r="2759" spans="1:9">
      <c r="A2759">
        <v>52758</v>
      </c>
      <c r="B2759">
        <v>3234</v>
      </c>
      <c r="C2759">
        <v>2002</v>
      </c>
      <c r="D2759" s="7">
        <v>46214</v>
      </c>
      <c r="E2759" t="s">
        <v>210</v>
      </c>
      <c r="F2759" t="s">
        <v>205</v>
      </c>
      <c r="H2759" s="7"/>
      <c r="I2759" t="s">
        <v>207</v>
      </c>
    </row>
    <row r="2760" spans="1:9">
      <c r="A2760">
        <v>52759</v>
      </c>
      <c r="B2760">
        <v>3235</v>
      </c>
      <c r="C2760">
        <v>2011</v>
      </c>
      <c r="D2760" s="7">
        <v>46057</v>
      </c>
      <c r="E2760" t="s">
        <v>212</v>
      </c>
      <c r="F2760" t="s">
        <v>205</v>
      </c>
      <c r="H2760" s="7"/>
      <c r="I2760" t="s">
        <v>207</v>
      </c>
    </row>
    <row r="2761" spans="1:9">
      <c r="A2761">
        <v>52760</v>
      </c>
      <c r="B2761">
        <v>3235</v>
      </c>
      <c r="C2761">
        <v>2011</v>
      </c>
      <c r="D2761" s="7">
        <v>46073</v>
      </c>
      <c r="E2761" t="s">
        <v>219</v>
      </c>
      <c r="F2761" t="s">
        <v>202</v>
      </c>
      <c r="G2761">
        <v>60</v>
      </c>
      <c r="H2761" s="7">
        <v>46080</v>
      </c>
      <c r="I2761" t="s">
        <v>206</v>
      </c>
    </row>
    <row r="2762" spans="1:9">
      <c r="A2762">
        <v>52761</v>
      </c>
      <c r="B2762">
        <v>3235</v>
      </c>
      <c r="C2762">
        <v>2011</v>
      </c>
      <c r="D2762" s="7">
        <v>46137</v>
      </c>
      <c r="E2762" t="s">
        <v>204</v>
      </c>
      <c r="F2762" t="s">
        <v>202</v>
      </c>
      <c r="G2762">
        <v>90</v>
      </c>
      <c r="H2762" s="7">
        <v>46151</v>
      </c>
      <c r="I2762" t="s">
        <v>211</v>
      </c>
    </row>
    <row r="2763" spans="1:9">
      <c r="A2763">
        <v>52762</v>
      </c>
      <c r="B2763">
        <v>3235</v>
      </c>
      <c r="C2763">
        <v>2011</v>
      </c>
      <c r="D2763" s="7">
        <v>46142</v>
      </c>
      <c r="E2763" t="s">
        <v>210</v>
      </c>
      <c r="F2763" t="s">
        <v>215</v>
      </c>
      <c r="G2763">
        <v>30</v>
      </c>
      <c r="H2763" s="7">
        <v>46172</v>
      </c>
      <c r="I2763" t="s">
        <v>207</v>
      </c>
    </row>
    <row r="2764" spans="1:9">
      <c r="A2764">
        <v>52763</v>
      </c>
      <c r="B2764">
        <v>3235</v>
      </c>
      <c r="C2764">
        <v>2011</v>
      </c>
      <c r="D2764" s="7">
        <v>46163</v>
      </c>
      <c r="E2764" t="s">
        <v>219</v>
      </c>
      <c r="F2764" t="s">
        <v>213</v>
      </c>
      <c r="H2764" s="7">
        <v>46193</v>
      </c>
      <c r="I2764" t="s">
        <v>211</v>
      </c>
    </row>
    <row r="2765" spans="1:9">
      <c r="A2765">
        <v>52764</v>
      </c>
      <c r="B2765">
        <v>3236</v>
      </c>
      <c r="C2765">
        <v>2014</v>
      </c>
      <c r="D2765" s="7">
        <v>45539</v>
      </c>
      <c r="E2765" t="s">
        <v>219</v>
      </c>
      <c r="F2765" t="s">
        <v>213</v>
      </c>
      <c r="H2765" s="7">
        <v>45553</v>
      </c>
      <c r="I2765" t="s">
        <v>217</v>
      </c>
    </row>
    <row r="2766" spans="1:9">
      <c r="A2766">
        <v>52765</v>
      </c>
      <c r="B2766">
        <v>3236</v>
      </c>
      <c r="C2766">
        <v>2014</v>
      </c>
      <c r="D2766" s="7">
        <v>45617</v>
      </c>
      <c r="E2766" t="s">
        <v>219</v>
      </c>
      <c r="F2766" t="s">
        <v>213</v>
      </c>
      <c r="H2766" s="7">
        <v>45647</v>
      </c>
      <c r="I2766" t="s">
        <v>209</v>
      </c>
    </row>
    <row r="2767" spans="1:9">
      <c r="A2767">
        <v>52766</v>
      </c>
      <c r="B2767">
        <v>3236</v>
      </c>
      <c r="C2767">
        <v>2014</v>
      </c>
      <c r="D2767" s="7">
        <v>45657</v>
      </c>
      <c r="E2767" t="s">
        <v>208</v>
      </c>
      <c r="F2767" t="s">
        <v>202</v>
      </c>
      <c r="G2767">
        <v>90</v>
      </c>
      <c r="H2767" s="7">
        <v>45671</v>
      </c>
      <c r="I2767" t="s">
        <v>216</v>
      </c>
    </row>
    <row r="2768" spans="1:9">
      <c r="A2768">
        <v>52767</v>
      </c>
      <c r="B2768">
        <v>3236</v>
      </c>
      <c r="C2768">
        <v>2014</v>
      </c>
      <c r="D2768" s="7">
        <v>45773</v>
      </c>
      <c r="E2768" t="s">
        <v>210</v>
      </c>
      <c r="F2768" t="s">
        <v>214</v>
      </c>
      <c r="H2768" s="7">
        <v>45787</v>
      </c>
      <c r="I2768" t="s">
        <v>203</v>
      </c>
    </row>
    <row r="2769" spans="1:9">
      <c r="A2769">
        <v>52768</v>
      </c>
      <c r="B2769">
        <v>3236</v>
      </c>
      <c r="C2769">
        <v>2014</v>
      </c>
      <c r="D2769" s="7">
        <v>45814</v>
      </c>
      <c r="E2769" t="s">
        <v>210</v>
      </c>
      <c r="F2769" t="s">
        <v>214</v>
      </c>
      <c r="H2769" s="7">
        <v>45844</v>
      </c>
      <c r="I2769" t="s">
        <v>209</v>
      </c>
    </row>
    <row r="2770" spans="1:9">
      <c r="A2770">
        <v>52769</v>
      </c>
      <c r="B2770">
        <v>3236</v>
      </c>
      <c r="C2770">
        <v>2014</v>
      </c>
      <c r="D2770" s="7">
        <v>45835</v>
      </c>
      <c r="E2770" t="s">
        <v>208</v>
      </c>
      <c r="F2770" t="s">
        <v>213</v>
      </c>
      <c r="H2770" s="7">
        <v>45865</v>
      </c>
      <c r="I2770" t="s">
        <v>211</v>
      </c>
    </row>
    <row r="2771" spans="1:9">
      <c r="A2771">
        <v>52770</v>
      </c>
      <c r="B2771">
        <v>3236</v>
      </c>
      <c r="C2771">
        <v>2014</v>
      </c>
      <c r="D2771" s="7">
        <v>45838</v>
      </c>
      <c r="E2771" t="s">
        <v>204</v>
      </c>
      <c r="F2771" t="s">
        <v>205</v>
      </c>
      <c r="H2771" s="7"/>
      <c r="I2771" t="s">
        <v>207</v>
      </c>
    </row>
    <row r="2772" spans="1:9">
      <c r="A2772">
        <v>52771</v>
      </c>
      <c r="B2772">
        <v>3236</v>
      </c>
      <c r="C2772">
        <v>2014</v>
      </c>
      <c r="D2772" s="7">
        <v>45839</v>
      </c>
      <c r="E2772" t="s">
        <v>201</v>
      </c>
      <c r="F2772" t="s">
        <v>202</v>
      </c>
      <c r="G2772">
        <v>30</v>
      </c>
      <c r="H2772" s="7">
        <v>45853</v>
      </c>
      <c r="I2772" t="s">
        <v>209</v>
      </c>
    </row>
    <row r="2773" spans="1:9">
      <c r="A2773">
        <v>52772</v>
      </c>
      <c r="B2773">
        <v>3236</v>
      </c>
      <c r="C2773">
        <v>2014</v>
      </c>
      <c r="D2773" s="7">
        <v>45844</v>
      </c>
      <c r="E2773" t="s">
        <v>219</v>
      </c>
      <c r="F2773" t="s">
        <v>202</v>
      </c>
      <c r="G2773">
        <v>45</v>
      </c>
      <c r="H2773" s="7">
        <v>45847</v>
      </c>
      <c r="I2773" t="s">
        <v>207</v>
      </c>
    </row>
    <row r="2774" spans="1:9">
      <c r="A2774">
        <v>52773</v>
      </c>
      <c r="B2774">
        <v>3236</v>
      </c>
      <c r="C2774">
        <v>2014</v>
      </c>
      <c r="D2774" s="7">
        <v>45856</v>
      </c>
      <c r="E2774" t="s">
        <v>210</v>
      </c>
      <c r="F2774" t="s">
        <v>214</v>
      </c>
      <c r="H2774" s="7">
        <v>45863</v>
      </c>
      <c r="I2774" t="s">
        <v>207</v>
      </c>
    </row>
    <row r="2775" spans="1:9">
      <c r="A2775">
        <v>52774</v>
      </c>
      <c r="B2775">
        <v>3236</v>
      </c>
      <c r="C2775">
        <v>2014</v>
      </c>
      <c r="D2775" s="7">
        <v>45958</v>
      </c>
      <c r="E2775" t="s">
        <v>212</v>
      </c>
      <c r="F2775" t="s">
        <v>215</v>
      </c>
      <c r="G2775">
        <v>10</v>
      </c>
      <c r="H2775" s="7">
        <v>45961</v>
      </c>
      <c r="I2775" t="s">
        <v>203</v>
      </c>
    </row>
    <row r="2776" spans="1:9">
      <c r="A2776">
        <v>52775</v>
      </c>
      <c r="B2776">
        <v>3236</v>
      </c>
      <c r="C2776">
        <v>2014</v>
      </c>
      <c r="D2776" s="7">
        <v>45961</v>
      </c>
      <c r="E2776" t="s">
        <v>204</v>
      </c>
      <c r="F2776" t="s">
        <v>205</v>
      </c>
      <c r="H2776" s="7"/>
      <c r="I2776" t="s">
        <v>216</v>
      </c>
    </row>
    <row r="2777" spans="1:9">
      <c r="A2777">
        <v>52776</v>
      </c>
      <c r="B2777">
        <v>3236</v>
      </c>
      <c r="C2777">
        <v>2014</v>
      </c>
      <c r="D2777" s="7">
        <v>46076</v>
      </c>
      <c r="E2777" t="s">
        <v>219</v>
      </c>
      <c r="F2777" t="s">
        <v>214</v>
      </c>
      <c r="H2777" s="7">
        <v>46083</v>
      </c>
      <c r="I2777" t="s">
        <v>206</v>
      </c>
    </row>
    <row r="2778" spans="1:9">
      <c r="A2778">
        <v>52777</v>
      </c>
      <c r="B2778">
        <v>3236</v>
      </c>
      <c r="C2778">
        <v>2014</v>
      </c>
      <c r="D2778" s="7">
        <v>46086</v>
      </c>
      <c r="E2778" t="s">
        <v>219</v>
      </c>
      <c r="F2778" t="s">
        <v>214</v>
      </c>
      <c r="H2778" s="7">
        <v>46107</v>
      </c>
      <c r="I2778" t="s">
        <v>203</v>
      </c>
    </row>
    <row r="2779" spans="1:9">
      <c r="A2779">
        <v>52778</v>
      </c>
      <c r="B2779">
        <v>3236</v>
      </c>
      <c r="C2779">
        <v>2014</v>
      </c>
      <c r="D2779" s="7">
        <v>46094</v>
      </c>
      <c r="E2779" t="s">
        <v>210</v>
      </c>
      <c r="F2779" t="s">
        <v>202</v>
      </c>
      <c r="G2779">
        <v>20</v>
      </c>
      <c r="H2779" s="7">
        <v>46101</v>
      </c>
      <c r="I2779" t="s">
        <v>206</v>
      </c>
    </row>
    <row r="2780" spans="1:9">
      <c r="A2780">
        <v>52779</v>
      </c>
      <c r="B2780">
        <v>3236</v>
      </c>
      <c r="C2780">
        <v>2014</v>
      </c>
      <c r="D2780" s="7">
        <v>46105</v>
      </c>
      <c r="E2780" t="s">
        <v>201</v>
      </c>
      <c r="F2780" t="s">
        <v>205</v>
      </c>
      <c r="H2780" s="7"/>
      <c r="I2780" t="s">
        <v>211</v>
      </c>
    </row>
    <row r="2781" spans="1:9">
      <c r="A2781">
        <v>52780</v>
      </c>
      <c r="B2781">
        <v>3236</v>
      </c>
      <c r="C2781">
        <v>2014</v>
      </c>
      <c r="D2781" s="7">
        <v>46150</v>
      </c>
      <c r="E2781" t="s">
        <v>204</v>
      </c>
      <c r="F2781" t="s">
        <v>202</v>
      </c>
      <c r="G2781">
        <v>60</v>
      </c>
      <c r="H2781" s="7">
        <v>46157</v>
      </c>
      <c r="I2781" t="s">
        <v>211</v>
      </c>
    </row>
    <row r="2782" spans="1:9">
      <c r="A2782">
        <v>52781</v>
      </c>
      <c r="B2782">
        <v>3237</v>
      </c>
      <c r="C2782">
        <v>2011</v>
      </c>
      <c r="D2782" s="7">
        <v>45456</v>
      </c>
      <c r="E2782" t="s">
        <v>208</v>
      </c>
      <c r="F2782" t="s">
        <v>214</v>
      </c>
      <c r="H2782" s="7">
        <v>45470</v>
      </c>
      <c r="I2782" t="s">
        <v>216</v>
      </c>
    </row>
    <row r="2783" spans="1:9">
      <c r="A2783">
        <v>52782</v>
      </c>
      <c r="B2783">
        <v>3237</v>
      </c>
      <c r="C2783">
        <v>2011</v>
      </c>
      <c r="D2783" s="7">
        <v>45486</v>
      </c>
      <c r="E2783" t="s">
        <v>212</v>
      </c>
      <c r="F2783" t="s">
        <v>202</v>
      </c>
      <c r="G2783">
        <v>90</v>
      </c>
      <c r="H2783" s="7">
        <v>45493</v>
      </c>
      <c r="I2783" t="s">
        <v>209</v>
      </c>
    </row>
    <row r="2784" spans="1:9">
      <c r="A2784">
        <v>52783</v>
      </c>
      <c r="B2784">
        <v>3237</v>
      </c>
      <c r="C2784">
        <v>2011</v>
      </c>
      <c r="D2784" s="7">
        <v>45506</v>
      </c>
      <c r="E2784" t="s">
        <v>212</v>
      </c>
      <c r="F2784" t="s">
        <v>218</v>
      </c>
      <c r="H2784" s="7"/>
      <c r="I2784" t="s">
        <v>216</v>
      </c>
    </row>
    <row r="2785" spans="1:9">
      <c r="A2785">
        <v>52784</v>
      </c>
      <c r="B2785">
        <v>3237</v>
      </c>
      <c r="C2785">
        <v>2011</v>
      </c>
      <c r="D2785" s="7">
        <v>45522</v>
      </c>
      <c r="E2785" t="s">
        <v>210</v>
      </c>
      <c r="F2785" t="s">
        <v>202</v>
      </c>
      <c r="G2785">
        <v>45</v>
      </c>
      <c r="H2785" s="7">
        <v>45525</v>
      </c>
      <c r="I2785" t="s">
        <v>217</v>
      </c>
    </row>
    <row r="2786" spans="1:9">
      <c r="A2786">
        <v>52785</v>
      </c>
      <c r="B2786">
        <v>3237</v>
      </c>
      <c r="C2786">
        <v>2011</v>
      </c>
      <c r="D2786" s="7">
        <v>45627</v>
      </c>
      <c r="E2786" t="s">
        <v>204</v>
      </c>
      <c r="F2786" t="s">
        <v>202</v>
      </c>
      <c r="G2786">
        <v>20</v>
      </c>
      <c r="H2786" s="7">
        <v>45648</v>
      </c>
      <c r="I2786" t="s">
        <v>217</v>
      </c>
    </row>
    <row r="2787" spans="1:9">
      <c r="A2787">
        <v>52786</v>
      </c>
      <c r="B2787">
        <v>3238</v>
      </c>
      <c r="C2787">
        <v>2006</v>
      </c>
      <c r="D2787" s="7">
        <v>45297</v>
      </c>
      <c r="E2787" t="s">
        <v>210</v>
      </c>
      <c r="F2787" t="s">
        <v>214</v>
      </c>
      <c r="H2787" s="7">
        <v>45304</v>
      </c>
      <c r="I2787" t="s">
        <v>217</v>
      </c>
    </row>
    <row r="2788" spans="1:9">
      <c r="A2788">
        <v>52787</v>
      </c>
      <c r="B2788">
        <v>3238</v>
      </c>
      <c r="C2788">
        <v>2006</v>
      </c>
      <c r="D2788" s="7">
        <v>45299</v>
      </c>
      <c r="E2788" t="s">
        <v>208</v>
      </c>
      <c r="F2788" t="s">
        <v>202</v>
      </c>
      <c r="G2788">
        <v>20</v>
      </c>
      <c r="H2788" s="7">
        <v>45313</v>
      </c>
      <c r="I2788" t="s">
        <v>203</v>
      </c>
    </row>
    <row r="2789" spans="1:9">
      <c r="A2789">
        <v>52788</v>
      </c>
      <c r="B2789">
        <v>3238</v>
      </c>
      <c r="C2789">
        <v>2006</v>
      </c>
      <c r="D2789" s="7">
        <v>45367</v>
      </c>
      <c r="E2789" t="s">
        <v>212</v>
      </c>
      <c r="F2789" t="s">
        <v>202</v>
      </c>
      <c r="G2789">
        <v>90</v>
      </c>
      <c r="H2789" s="7">
        <v>45381</v>
      </c>
      <c r="I2789" t="s">
        <v>203</v>
      </c>
    </row>
    <row r="2790" spans="1:9">
      <c r="A2790">
        <v>52789</v>
      </c>
      <c r="B2790">
        <v>3238</v>
      </c>
      <c r="C2790">
        <v>2006</v>
      </c>
      <c r="D2790" s="7">
        <v>45400</v>
      </c>
      <c r="E2790" t="s">
        <v>212</v>
      </c>
      <c r="F2790" t="s">
        <v>214</v>
      </c>
      <c r="H2790" s="7">
        <v>45414</v>
      </c>
      <c r="I2790" t="s">
        <v>206</v>
      </c>
    </row>
    <row r="2791" spans="1:9">
      <c r="A2791">
        <v>52790</v>
      </c>
      <c r="B2791">
        <v>3238</v>
      </c>
      <c r="C2791">
        <v>2006</v>
      </c>
      <c r="D2791" s="7">
        <v>45427</v>
      </c>
      <c r="E2791" t="s">
        <v>204</v>
      </c>
      <c r="F2791" t="s">
        <v>202</v>
      </c>
      <c r="G2791">
        <v>15</v>
      </c>
      <c r="H2791" s="7">
        <v>45434</v>
      </c>
      <c r="I2791" t="s">
        <v>209</v>
      </c>
    </row>
    <row r="2792" spans="1:9">
      <c r="A2792">
        <v>52791</v>
      </c>
      <c r="B2792">
        <v>3238</v>
      </c>
      <c r="C2792">
        <v>2006</v>
      </c>
      <c r="D2792" s="7">
        <v>45427</v>
      </c>
      <c r="E2792" t="s">
        <v>210</v>
      </c>
      <c r="F2792" t="s">
        <v>213</v>
      </c>
      <c r="H2792" s="7">
        <v>45441</v>
      </c>
      <c r="I2792" t="s">
        <v>217</v>
      </c>
    </row>
    <row r="2793" spans="1:9">
      <c r="A2793">
        <v>52792</v>
      </c>
      <c r="B2793">
        <v>3238</v>
      </c>
      <c r="C2793">
        <v>2006</v>
      </c>
      <c r="D2793" s="7">
        <v>45447</v>
      </c>
      <c r="E2793" t="s">
        <v>204</v>
      </c>
      <c r="F2793" t="s">
        <v>202</v>
      </c>
      <c r="G2793">
        <v>15</v>
      </c>
      <c r="H2793" s="7">
        <v>45468</v>
      </c>
      <c r="I2793" t="s">
        <v>209</v>
      </c>
    </row>
    <row r="2794" spans="1:9">
      <c r="A2794">
        <v>52793</v>
      </c>
      <c r="B2794">
        <v>3238</v>
      </c>
      <c r="C2794">
        <v>2006</v>
      </c>
      <c r="D2794" s="7">
        <v>45464</v>
      </c>
      <c r="E2794" t="s">
        <v>219</v>
      </c>
      <c r="F2794" t="s">
        <v>202</v>
      </c>
      <c r="G2794">
        <v>30</v>
      </c>
      <c r="H2794" s="7">
        <v>45471</v>
      </c>
      <c r="I2794" t="s">
        <v>211</v>
      </c>
    </row>
    <row r="2795" spans="1:9">
      <c r="A2795">
        <v>52794</v>
      </c>
      <c r="B2795">
        <v>3238</v>
      </c>
      <c r="C2795">
        <v>2006</v>
      </c>
      <c r="D2795" s="7">
        <v>45495</v>
      </c>
      <c r="E2795" t="s">
        <v>212</v>
      </c>
      <c r="F2795" t="s">
        <v>213</v>
      </c>
      <c r="H2795" s="7">
        <v>45516</v>
      </c>
      <c r="I2795" t="s">
        <v>217</v>
      </c>
    </row>
    <row r="2796" spans="1:9">
      <c r="A2796">
        <v>52795</v>
      </c>
      <c r="B2796">
        <v>3239</v>
      </c>
      <c r="C2796">
        <v>2007</v>
      </c>
      <c r="D2796" s="7">
        <v>46154</v>
      </c>
      <c r="E2796" t="s">
        <v>204</v>
      </c>
      <c r="F2796" t="s">
        <v>214</v>
      </c>
      <c r="H2796" s="7">
        <v>46161</v>
      </c>
      <c r="I2796" t="s">
        <v>206</v>
      </c>
    </row>
    <row r="2797" spans="1:9">
      <c r="A2797">
        <v>52796</v>
      </c>
      <c r="B2797">
        <v>3239</v>
      </c>
      <c r="C2797">
        <v>2007</v>
      </c>
      <c r="D2797" s="7">
        <v>46154</v>
      </c>
      <c r="E2797" t="s">
        <v>201</v>
      </c>
      <c r="F2797" t="s">
        <v>202</v>
      </c>
      <c r="G2797">
        <v>30</v>
      </c>
      <c r="H2797" s="7">
        <v>46175</v>
      </c>
      <c r="I2797" t="s">
        <v>209</v>
      </c>
    </row>
    <row r="2798" spans="1:9">
      <c r="A2798">
        <v>52797</v>
      </c>
      <c r="B2798">
        <v>3239</v>
      </c>
      <c r="C2798">
        <v>2007</v>
      </c>
      <c r="D2798" s="7">
        <v>46160</v>
      </c>
      <c r="E2798" t="s">
        <v>212</v>
      </c>
      <c r="F2798" t="s">
        <v>213</v>
      </c>
      <c r="H2798" s="7">
        <v>46174</v>
      </c>
      <c r="I2798" t="s">
        <v>216</v>
      </c>
    </row>
    <row r="2799" spans="1:9">
      <c r="A2799">
        <v>52798</v>
      </c>
      <c r="B2799">
        <v>3239</v>
      </c>
      <c r="C2799">
        <v>2007</v>
      </c>
      <c r="D2799" s="7">
        <v>46173</v>
      </c>
      <c r="E2799" t="s">
        <v>201</v>
      </c>
      <c r="F2799" t="s">
        <v>213</v>
      </c>
      <c r="H2799" s="7">
        <v>46187</v>
      </c>
      <c r="I2799" t="s">
        <v>203</v>
      </c>
    </row>
    <row r="2800" spans="1:9">
      <c r="A2800">
        <v>52799</v>
      </c>
      <c r="B2800">
        <v>3239</v>
      </c>
      <c r="C2800">
        <v>2007</v>
      </c>
      <c r="D2800" s="7">
        <v>46173</v>
      </c>
      <c r="E2800" t="s">
        <v>201</v>
      </c>
      <c r="F2800" t="s">
        <v>202</v>
      </c>
      <c r="G2800">
        <v>45</v>
      </c>
      <c r="H2800" s="7">
        <v>46187</v>
      </c>
      <c r="I2800" t="s">
        <v>217</v>
      </c>
    </row>
    <row r="2801" spans="1:9">
      <c r="A2801">
        <v>52800</v>
      </c>
      <c r="B2801">
        <v>3239</v>
      </c>
      <c r="C2801">
        <v>2007</v>
      </c>
      <c r="D2801" s="7">
        <v>46176</v>
      </c>
      <c r="E2801" t="s">
        <v>210</v>
      </c>
      <c r="F2801" t="s">
        <v>218</v>
      </c>
      <c r="H2801" s="7"/>
      <c r="I2801" t="s">
        <v>203</v>
      </c>
    </row>
    <row r="2802" spans="1:9">
      <c r="A2802">
        <v>52801</v>
      </c>
      <c r="B2802">
        <v>3239</v>
      </c>
      <c r="C2802">
        <v>2007</v>
      </c>
      <c r="D2802" s="7">
        <v>46187</v>
      </c>
      <c r="E2802" t="s">
        <v>212</v>
      </c>
      <c r="F2802" t="s">
        <v>202</v>
      </c>
      <c r="G2802">
        <v>10</v>
      </c>
      <c r="H2802" s="7">
        <v>46201</v>
      </c>
      <c r="I2802" t="s">
        <v>206</v>
      </c>
    </row>
    <row r="2803" spans="1:9">
      <c r="A2803">
        <v>52802</v>
      </c>
      <c r="B2803">
        <v>3239</v>
      </c>
      <c r="C2803">
        <v>2007</v>
      </c>
      <c r="D2803" s="7">
        <v>46188</v>
      </c>
      <c r="E2803" t="s">
        <v>210</v>
      </c>
      <c r="F2803" t="s">
        <v>213</v>
      </c>
      <c r="H2803" s="7">
        <v>46202</v>
      </c>
      <c r="I2803" t="s">
        <v>207</v>
      </c>
    </row>
    <row r="2804" spans="1:9">
      <c r="A2804">
        <v>52803</v>
      </c>
      <c r="B2804">
        <v>3239</v>
      </c>
      <c r="C2804">
        <v>2007</v>
      </c>
      <c r="D2804" s="7">
        <v>46190</v>
      </c>
      <c r="E2804" t="s">
        <v>208</v>
      </c>
      <c r="F2804" t="s">
        <v>215</v>
      </c>
      <c r="G2804">
        <v>15</v>
      </c>
      <c r="H2804" s="7">
        <v>46197</v>
      </c>
      <c r="I2804" t="s">
        <v>211</v>
      </c>
    </row>
    <row r="2805" spans="1:9">
      <c r="A2805">
        <v>52804</v>
      </c>
      <c r="B2805">
        <v>3239</v>
      </c>
      <c r="C2805">
        <v>2007</v>
      </c>
      <c r="D2805" s="7">
        <v>46191</v>
      </c>
      <c r="E2805" t="s">
        <v>212</v>
      </c>
      <c r="F2805" t="s">
        <v>205</v>
      </c>
      <c r="H2805" s="7"/>
      <c r="I2805" t="s">
        <v>216</v>
      </c>
    </row>
    <row r="2806" spans="1:9">
      <c r="A2806">
        <v>52805</v>
      </c>
      <c r="B2806">
        <v>3239</v>
      </c>
      <c r="C2806">
        <v>2007</v>
      </c>
      <c r="D2806" s="7">
        <v>46195</v>
      </c>
      <c r="E2806" t="s">
        <v>212</v>
      </c>
      <c r="F2806" t="s">
        <v>202</v>
      </c>
      <c r="G2806">
        <v>15</v>
      </c>
      <c r="H2806" s="7"/>
      <c r="I2806" t="s">
        <v>216</v>
      </c>
    </row>
    <row r="2807" spans="1:9">
      <c r="A2807">
        <v>52806</v>
      </c>
      <c r="B2807">
        <v>3239</v>
      </c>
      <c r="C2807">
        <v>2007</v>
      </c>
      <c r="D2807" s="7">
        <v>46201</v>
      </c>
      <c r="E2807" t="s">
        <v>204</v>
      </c>
      <c r="F2807" t="s">
        <v>213</v>
      </c>
      <c r="H2807" s="7">
        <v>46208</v>
      </c>
      <c r="I2807" t="s">
        <v>211</v>
      </c>
    </row>
    <row r="2808" spans="1:9">
      <c r="A2808">
        <v>52807</v>
      </c>
      <c r="B2808">
        <v>3239</v>
      </c>
      <c r="C2808">
        <v>2007</v>
      </c>
      <c r="D2808" s="7">
        <v>46202</v>
      </c>
      <c r="E2808" t="s">
        <v>201</v>
      </c>
      <c r="F2808" t="s">
        <v>213</v>
      </c>
      <c r="H2808" s="7">
        <v>46205</v>
      </c>
      <c r="I2808" t="s">
        <v>211</v>
      </c>
    </row>
    <row r="2809" spans="1:9">
      <c r="A2809">
        <v>52808</v>
      </c>
      <c r="B2809">
        <v>3239</v>
      </c>
      <c r="C2809">
        <v>2007</v>
      </c>
      <c r="D2809" s="7">
        <v>46213</v>
      </c>
      <c r="E2809" t="s">
        <v>212</v>
      </c>
      <c r="F2809" t="s">
        <v>205</v>
      </c>
      <c r="H2809" s="7"/>
      <c r="I2809" t="s">
        <v>203</v>
      </c>
    </row>
    <row r="2810" spans="1:9">
      <c r="A2810">
        <v>52809</v>
      </c>
      <c r="B2810">
        <v>3240</v>
      </c>
      <c r="C2810">
        <v>2015</v>
      </c>
      <c r="D2810" s="7">
        <v>45814</v>
      </c>
      <c r="E2810" t="s">
        <v>204</v>
      </c>
      <c r="F2810" t="s">
        <v>215</v>
      </c>
      <c r="G2810">
        <v>20</v>
      </c>
      <c r="H2810" s="7">
        <v>45835</v>
      </c>
      <c r="I2810" t="s">
        <v>207</v>
      </c>
    </row>
    <row r="2811" spans="1:9">
      <c r="A2811">
        <v>52810</v>
      </c>
      <c r="B2811">
        <v>3240</v>
      </c>
      <c r="C2811">
        <v>2015</v>
      </c>
      <c r="D2811" s="7">
        <v>45829</v>
      </c>
      <c r="E2811" t="s">
        <v>201</v>
      </c>
      <c r="F2811" t="s">
        <v>202</v>
      </c>
      <c r="G2811">
        <v>45</v>
      </c>
      <c r="H2811" s="7">
        <v>45836</v>
      </c>
      <c r="I2811" t="s">
        <v>203</v>
      </c>
    </row>
    <row r="2812" spans="1:9">
      <c r="A2812">
        <v>52811</v>
      </c>
      <c r="B2812">
        <v>3240</v>
      </c>
      <c r="C2812">
        <v>2015</v>
      </c>
      <c r="D2812" s="7">
        <v>45841</v>
      </c>
      <c r="E2812" t="s">
        <v>212</v>
      </c>
      <c r="F2812" t="s">
        <v>205</v>
      </c>
      <c r="H2812" s="7"/>
      <c r="I2812" t="s">
        <v>211</v>
      </c>
    </row>
    <row r="2813" spans="1:9">
      <c r="A2813">
        <v>52812</v>
      </c>
      <c r="B2813">
        <v>3240</v>
      </c>
      <c r="C2813">
        <v>2015</v>
      </c>
      <c r="D2813" s="7">
        <v>45850</v>
      </c>
      <c r="E2813" t="s">
        <v>212</v>
      </c>
      <c r="F2813" t="s">
        <v>202</v>
      </c>
      <c r="G2813">
        <v>10</v>
      </c>
      <c r="H2813" s="7">
        <v>45853</v>
      </c>
      <c r="I2813" t="s">
        <v>217</v>
      </c>
    </row>
    <row r="2814" spans="1:9">
      <c r="A2814">
        <v>52813</v>
      </c>
      <c r="B2814">
        <v>3240</v>
      </c>
      <c r="C2814">
        <v>2015</v>
      </c>
      <c r="D2814" s="7">
        <v>45864</v>
      </c>
      <c r="E2814" t="s">
        <v>219</v>
      </c>
      <c r="F2814" t="s">
        <v>214</v>
      </c>
      <c r="H2814" s="7">
        <v>45885</v>
      </c>
      <c r="I2814" t="s">
        <v>216</v>
      </c>
    </row>
    <row r="2815" spans="1:9">
      <c r="A2815">
        <v>52814</v>
      </c>
      <c r="B2815">
        <v>3240</v>
      </c>
      <c r="C2815">
        <v>2015</v>
      </c>
      <c r="D2815" s="7">
        <v>45882</v>
      </c>
      <c r="E2815" t="s">
        <v>208</v>
      </c>
      <c r="F2815" t="s">
        <v>213</v>
      </c>
      <c r="H2815" s="7">
        <v>45903</v>
      </c>
      <c r="I2815" t="s">
        <v>207</v>
      </c>
    </row>
    <row r="2816" spans="1:9">
      <c r="A2816">
        <v>52815</v>
      </c>
      <c r="B2816">
        <v>3240</v>
      </c>
      <c r="C2816">
        <v>2015</v>
      </c>
      <c r="D2816" s="7">
        <v>45884</v>
      </c>
      <c r="E2816" t="s">
        <v>204</v>
      </c>
      <c r="F2816" t="s">
        <v>213</v>
      </c>
      <c r="H2816" s="7">
        <v>45905</v>
      </c>
      <c r="I2816" t="s">
        <v>203</v>
      </c>
    </row>
    <row r="2817" spans="1:9">
      <c r="A2817">
        <v>52816</v>
      </c>
      <c r="B2817">
        <v>3240</v>
      </c>
      <c r="C2817">
        <v>2015</v>
      </c>
      <c r="D2817" s="7">
        <v>45922</v>
      </c>
      <c r="E2817" t="s">
        <v>219</v>
      </c>
      <c r="F2817" t="s">
        <v>205</v>
      </c>
      <c r="H2817" s="7"/>
      <c r="I2817" t="s">
        <v>207</v>
      </c>
    </row>
    <row r="2818" spans="1:9">
      <c r="A2818">
        <v>52817</v>
      </c>
      <c r="B2818">
        <v>3240</v>
      </c>
      <c r="C2818">
        <v>2015</v>
      </c>
      <c r="D2818" s="7">
        <v>46003</v>
      </c>
      <c r="E2818" t="s">
        <v>204</v>
      </c>
      <c r="F2818" t="s">
        <v>202</v>
      </c>
      <c r="G2818">
        <v>60</v>
      </c>
      <c r="H2818" s="7">
        <v>46010</v>
      </c>
      <c r="I2818" t="s">
        <v>207</v>
      </c>
    </row>
    <row r="2819" spans="1:9">
      <c r="A2819">
        <v>52818</v>
      </c>
      <c r="B2819">
        <v>3240</v>
      </c>
      <c r="C2819">
        <v>2015</v>
      </c>
      <c r="D2819" s="7">
        <v>46099</v>
      </c>
      <c r="E2819" t="s">
        <v>212</v>
      </c>
      <c r="F2819" t="s">
        <v>202</v>
      </c>
      <c r="G2819">
        <v>15</v>
      </c>
      <c r="H2819" s="7">
        <v>46106</v>
      </c>
      <c r="I2819" t="s">
        <v>216</v>
      </c>
    </row>
    <row r="2820" spans="1:9">
      <c r="A2820">
        <v>52819</v>
      </c>
      <c r="B2820">
        <v>3240</v>
      </c>
      <c r="C2820">
        <v>2015</v>
      </c>
      <c r="D2820" s="7">
        <v>46132</v>
      </c>
      <c r="E2820" t="s">
        <v>212</v>
      </c>
      <c r="F2820" t="s">
        <v>215</v>
      </c>
      <c r="G2820">
        <v>90</v>
      </c>
      <c r="H2820" s="7">
        <v>46139</v>
      </c>
      <c r="I2820" t="s">
        <v>206</v>
      </c>
    </row>
    <row r="2821" spans="1:9">
      <c r="A2821">
        <v>52820</v>
      </c>
      <c r="B2821">
        <v>3240</v>
      </c>
      <c r="C2821">
        <v>2015</v>
      </c>
      <c r="D2821" s="7">
        <v>46145</v>
      </c>
      <c r="E2821" t="s">
        <v>212</v>
      </c>
      <c r="F2821" t="s">
        <v>215</v>
      </c>
      <c r="G2821">
        <v>60</v>
      </c>
      <c r="H2821" s="7">
        <v>46166</v>
      </c>
      <c r="I2821" t="s">
        <v>211</v>
      </c>
    </row>
    <row r="2822" spans="1:9">
      <c r="A2822">
        <v>52821</v>
      </c>
      <c r="B2822">
        <v>3240</v>
      </c>
      <c r="C2822">
        <v>2015</v>
      </c>
      <c r="D2822" s="7">
        <v>46146</v>
      </c>
      <c r="E2822" t="s">
        <v>219</v>
      </c>
      <c r="F2822" t="s">
        <v>215</v>
      </c>
      <c r="G2822">
        <v>30</v>
      </c>
      <c r="H2822" s="7">
        <v>46167</v>
      </c>
      <c r="I2822" t="s">
        <v>217</v>
      </c>
    </row>
    <row r="2823" spans="1:9">
      <c r="A2823">
        <v>52822</v>
      </c>
      <c r="B2823">
        <v>3240</v>
      </c>
      <c r="C2823">
        <v>2015</v>
      </c>
      <c r="D2823" s="7">
        <v>46181</v>
      </c>
      <c r="E2823" t="s">
        <v>212</v>
      </c>
      <c r="F2823" t="s">
        <v>202</v>
      </c>
      <c r="G2823">
        <v>90</v>
      </c>
      <c r="H2823" s="7">
        <v>46184</v>
      </c>
      <c r="I2823" t="s">
        <v>216</v>
      </c>
    </row>
    <row r="2824" spans="1:9">
      <c r="A2824">
        <v>52823</v>
      </c>
      <c r="B2824">
        <v>3241</v>
      </c>
      <c r="C2824">
        <v>2002</v>
      </c>
      <c r="D2824" s="7">
        <v>45716</v>
      </c>
      <c r="E2824" t="s">
        <v>204</v>
      </c>
      <c r="F2824" t="s">
        <v>202</v>
      </c>
      <c r="G2824">
        <v>30</v>
      </c>
      <c r="H2824" s="7">
        <v>45723</v>
      </c>
      <c r="I2824" t="s">
        <v>211</v>
      </c>
    </row>
    <row r="2825" spans="1:9">
      <c r="A2825">
        <v>52824</v>
      </c>
      <c r="B2825">
        <v>3241</v>
      </c>
      <c r="C2825">
        <v>2002</v>
      </c>
      <c r="D2825" s="7">
        <v>45808</v>
      </c>
      <c r="E2825" t="s">
        <v>204</v>
      </c>
      <c r="F2825" t="s">
        <v>214</v>
      </c>
      <c r="H2825" s="7">
        <v>45815</v>
      </c>
      <c r="I2825" t="s">
        <v>207</v>
      </c>
    </row>
    <row r="2826" spans="1:9">
      <c r="A2826">
        <v>52825</v>
      </c>
      <c r="B2826">
        <v>3241</v>
      </c>
      <c r="C2826">
        <v>2002</v>
      </c>
      <c r="D2826" s="7">
        <v>45926</v>
      </c>
      <c r="E2826" t="s">
        <v>212</v>
      </c>
      <c r="F2826" t="s">
        <v>213</v>
      </c>
      <c r="H2826" s="7">
        <v>45933</v>
      </c>
      <c r="I2826" t="s">
        <v>217</v>
      </c>
    </row>
    <row r="2827" spans="1:9">
      <c r="A2827">
        <v>52826</v>
      </c>
      <c r="B2827">
        <v>3241</v>
      </c>
      <c r="C2827">
        <v>2002</v>
      </c>
      <c r="D2827" s="7">
        <v>45943</v>
      </c>
      <c r="E2827" t="s">
        <v>212</v>
      </c>
      <c r="F2827" t="s">
        <v>215</v>
      </c>
      <c r="G2827">
        <v>90</v>
      </c>
      <c r="H2827" s="7">
        <v>45973</v>
      </c>
      <c r="I2827" t="s">
        <v>217</v>
      </c>
    </row>
    <row r="2828" spans="1:9">
      <c r="A2828">
        <v>52827</v>
      </c>
      <c r="B2828">
        <v>3241</v>
      </c>
      <c r="C2828">
        <v>2002</v>
      </c>
      <c r="D2828" s="7">
        <v>45962</v>
      </c>
      <c r="E2828" t="s">
        <v>210</v>
      </c>
      <c r="F2828" t="s">
        <v>202</v>
      </c>
      <c r="G2828">
        <v>10</v>
      </c>
      <c r="H2828" s="7">
        <v>45983</v>
      </c>
      <c r="I2828" t="s">
        <v>217</v>
      </c>
    </row>
    <row r="2829" spans="1:9">
      <c r="A2829">
        <v>52828</v>
      </c>
      <c r="B2829">
        <v>3241</v>
      </c>
      <c r="C2829">
        <v>2002</v>
      </c>
      <c r="D2829" s="7">
        <v>45964</v>
      </c>
      <c r="E2829" t="s">
        <v>204</v>
      </c>
      <c r="F2829" t="s">
        <v>214</v>
      </c>
      <c r="H2829" s="7">
        <v>45994</v>
      </c>
      <c r="I2829" t="s">
        <v>211</v>
      </c>
    </row>
    <row r="2830" spans="1:9">
      <c r="A2830">
        <v>52829</v>
      </c>
      <c r="B2830">
        <v>3241</v>
      </c>
      <c r="C2830">
        <v>2002</v>
      </c>
      <c r="D2830" s="7">
        <v>45987</v>
      </c>
      <c r="E2830" t="s">
        <v>210</v>
      </c>
      <c r="F2830" t="s">
        <v>214</v>
      </c>
      <c r="H2830" s="7">
        <v>46017</v>
      </c>
      <c r="I2830" t="s">
        <v>207</v>
      </c>
    </row>
    <row r="2831" spans="1:9">
      <c r="A2831">
        <v>52830</v>
      </c>
      <c r="B2831">
        <v>3241</v>
      </c>
      <c r="C2831">
        <v>2002</v>
      </c>
      <c r="D2831" s="7">
        <v>45996</v>
      </c>
      <c r="E2831" t="s">
        <v>212</v>
      </c>
      <c r="F2831" t="s">
        <v>202</v>
      </c>
      <c r="G2831">
        <v>30</v>
      </c>
      <c r="H2831" s="7">
        <v>46017</v>
      </c>
      <c r="I2831" t="s">
        <v>206</v>
      </c>
    </row>
    <row r="2832" spans="1:9">
      <c r="A2832">
        <v>52831</v>
      </c>
      <c r="B2832">
        <v>3241</v>
      </c>
      <c r="C2832">
        <v>2002</v>
      </c>
      <c r="D2832" s="7">
        <v>46159</v>
      </c>
      <c r="E2832" t="s">
        <v>212</v>
      </c>
      <c r="F2832" t="s">
        <v>202</v>
      </c>
      <c r="G2832">
        <v>20</v>
      </c>
      <c r="H2832" s="7">
        <v>46173</v>
      </c>
      <c r="I2832" t="s">
        <v>207</v>
      </c>
    </row>
    <row r="2833" spans="1:9">
      <c r="A2833">
        <v>52832</v>
      </c>
      <c r="B2833">
        <v>3242</v>
      </c>
      <c r="C2833">
        <v>2014</v>
      </c>
      <c r="D2833" s="7">
        <v>45740</v>
      </c>
      <c r="E2833" t="s">
        <v>219</v>
      </c>
      <c r="F2833" t="s">
        <v>202</v>
      </c>
      <c r="G2833">
        <v>90</v>
      </c>
      <c r="H2833" s="7">
        <v>45743</v>
      </c>
      <c r="I2833" t="s">
        <v>209</v>
      </c>
    </row>
    <row r="2834" spans="1:9">
      <c r="A2834">
        <v>52833</v>
      </c>
      <c r="B2834">
        <v>3242</v>
      </c>
      <c r="C2834">
        <v>2014</v>
      </c>
      <c r="D2834" s="7">
        <v>45740</v>
      </c>
      <c r="E2834" t="s">
        <v>219</v>
      </c>
      <c r="F2834" t="s">
        <v>202</v>
      </c>
      <c r="G2834">
        <v>15</v>
      </c>
      <c r="H2834" s="7">
        <v>45743</v>
      </c>
      <c r="I2834" t="s">
        <v>216</v>
      </c>
    </row>
    <row r="2835" spans="1:9">
      <c r="A2835">
        <v>52834</v>
      </c>
      <c r="B2835">
        <v>3242</v>
      </c>
      <c r="C2835">
        <v>2014</v>
      </c>
      <c r="D2835" s="7">
        <v>45837</v>
      </c>
      <c r="E2835" t="s">
        <v>212</v>
      </c>
      <c r="F2835" t="s">
        <v>205</v>
      </c>
      <c r="H2835" s="7"/>
      <c r="I2835" t="s">
        <v>203</v>
      </c>
    </row>
    <row r="2836" spans="1:9">
      <c r="A2836">
        <v>52835</v>
      </c>
      <c r="B2836">
        <v>3242</v>
      </c>
      <c r="C2836">
        <v>2014</v>
      </c>
      <c r="D2836" s="7">
        <v>45855</v>
      </c>
      <c r="E2836" t="s">
        <v>212</v>
      </c>
      <c r="F2836" t="s">
        <v>202</v>
      </c>
      <c r="G2836">
        <v>45</v>
      </c>
      <c r="H2836" s="7">
        <v>45885</v>
      </c>
      <c r="I2836" t="s">
        <v>217</v>
      </c>
    </row>
    <row r="2837" spans="1:9">
      <c r="A2837">
        <v>52836</v>
      </c>
      <c r="B2837">
        <v>3242</v>
      </c>
      <c r="C2837">
        <v>2014</v>
      </c>
      <c r="D2837" s="7">
        <v>45894</v>
      </c>
      <c r="E2837" t="s">
        <v>212</v>
      </c>
      <c r="F2837" t="s">
        <v>202</v>
      </c>
      <c r="G2837">
        <v>60</v>
      </c>
      <c r="H2837" s="7">
        <v>45908</v>
      </c>
      <c r="I2837" t="s">
        <v>211</v>
      </c>
    </row>
    <row r="2838" spans="1:9">
      <c r="A2838">
        <v>52837</v>
      </c>
      <c r="B2838">
        <v>3242</v>
      </c>
      <c r="C2838">
        <v>2014</v>
      </c>
      <c r="D2838" s="7">
        <v>45941</v>
      </c>
      <c r="E2838" t="s">
        <v>204</v>
      </c>
      <c r="F2838" t="s">
        <v>202</v>
      </c>
      <c r="G2838">
        <v>30</v>
      </c>
      <c r="H2838" s="7">
        <v>45944</v>
      </c>
      <c r="I2838" t="s">
        <v>216</v>
      </c>
    </row>
    <row r="2839" spans="1:9">
      <c r="A2839">
        <v>52838</v>
      </c>
      <c r="B2839">
        <v>3242</v>
      </c>
      <c r="C2839">
        <v>2014</v>
      </c>
      <c r="D2839" s="7">
        <v>45947</v>
      </c>
      <c r="E2839" t="s">
        <v>210</v>
      </c>
      <c r="F2839" t="s">
        <v>213</v>
      </c>
      <c r="H2839" s="7">
        <v>45977</v>
      </c>
      <c r="I2839" t="s">
        <v>209</v>
      </c>
    </row>
    <row r="2840" spans="1:9">
      <c r="A2840">
        <v>52839</v>
      </c>
      <c r="B2840">
        <v>3242</v>
      </c>
      <c r="C2840">
        <v>2014</v>
      </c>
      <c r="D2840" s="7">
        <v>45998</v>
      </c>
      <c r="E2840" t="s">
        <v>212</v>
      </c>
      <c r="F2840" t="s">
        <v>213</v>
      </c>
      <c r="H2840" s="7">
        <v>46028</v>
      </c>
      <c r="I2840" t="s">
        <v>209</v>
      </c>
    </row>
    <row r="2841" spans="1:9">
      <c r="A2841">
        <v>52840</v>
      </c>
      <c r="B2841">
        <v>3242</v>
      </c>
      <c r="C2841">
        <v>2014</v>
      </c>
      <c r="D2841" s="7">
        <v>46008</v>
      </c>
      <c r="E2841" t="s">
        <v>212</v>
      </c>
      <c r="F2841" t="s">
        <v>202</v>
      </c>
      <c r="G2841">
        <v>20</v>
      </c>
      <c r="H2841" s="7">
        <v>46015</v>
      </c>
      <c r="I2841" t="s">
        <v>216</v>
      </c>
    </row>
    <row r="2842" spans="1:9">
      <c r="A2842">
        <v>52841</v>
      </c>
      <c r="B2842">
        <v>3242</v>
      </c>
      <c r="C2842">
        <v>2014</v>
      </c>
      <c r="D2842" s="7">
        <v>46015</v>
      </c>
      <c r="E2842" t="s">
        <v>212</v>
      </c>
      <c r="F2842" t="s">
        <v>215</v>
      </c>
      <c r="G2842">
        <v>60</v>
      </c>
      <c r="H2842" s="7">
        <v>46036</v>
      </c>
      <c r="I2842" t="s">
        <v>217</v>
      </c>
    </row>
    <row r="2843" spans="1:9">
      <c r="A2843">
        <v>52842</v>
      </c>
      <c r="B2843">
        <v>3242</v>
      </c>
      <c r="C2843">
        <v>2014</v>
      </c>
      <c r="D2843" s="7">
        <v>46071</v>
      </c>
      <c r="E2843" t="s">
        <v>208</v>
      </c>
      <c r="F2843" t="s">
        <v>213</v>
      </c>
      <c r="H2843" s="7">
        <v>46101</v>
      </c>
      <c r="I2843" t="s">
        <v>206</v>
      </c>
    </row>
    <row r="2844" spans="1:9">
      <c r="A2844">
        <v>52843</v>
      </c>
      <c r="B2844">
        <v>3242</v>
      </c>
      <c r="C2844">
        <v>2014</v>
      </c>
      <c r="D2844" s="7">
        <v>46076</v>
      </c>
      <c r="E2844" t="s">
        <v>212</v>
      </c>
      <c r="F2844" t="s">
        <v>202</v>
      </c>
      <c r="G2844">
        <v>90</v>
      </c>
      <c r="H2844" s="7">
        <v>46079</v>
      </c>
      <c r="I2844" t="s">
        <v>217</v>
      </c>
    </row>
    <row r="2845" spans="1:9">
      <c r="A2845">
        <v>52844</v>
      </c>
      <c r="B2845">
        <v>3242</v>
      </c>
      <c r="C2845">
        <v>2014</v>
      </c>
      <c r="D2845" s="7">
        <v>46082</v>
      </c>
      <c r="E2845" t="s">
        <v>204</v>
      </c>
      <c r="F2845" t="s">
        <v>215</v>
      </c>
      <c r="G2845">
        <v>60</v>
      </c>
      <c r="H2845" s="7">
        <v>46085</v>
      </c>
      <c r="I2845" t="s">
        <v>203</v>
      </c>
    </row>
    <row r="2846" spans="1:9">
      <c r="A2846">
        <v>52845</v>
      </c>
      <c r="B2846">
        <v>3242</v>
      </c>
      <c r="C2846">
        <v>2014</v>
      </c>
      <c r="D2846" s="7">
        <v>46160</v>
      </c>
      <c r="E2846" t="s">
        <v>201</v>
      </c>
      <c r="F2846" t="s">
        <v>202</v>
      </c>
      <c r="G2846">
        <v>45</v>
      </c>
      <c r="H2846" s="7">
        <v>46163</v>
      </c>
      <c r="I2846" t="s">
        <v>209</v>
      </c>
    </row>
    <row r="2847" spans="1:9">
      <c r="A2847">
        <v>52846</v>
      </c>
      <c r="B2847">
        <v>3242</v>
      </c>
      <c r="C2847">
        <v>2014</v>
      </c>
      <c r="D2847" s="7">
        <v>46164</v>
      </c>
      <c r="E2847" t="s">
        <v>219</v>
      </c>
      <c r="F2847" t="s">
        <v>213</v>
      </c>
      <c r="H2847" s="7">
        <v>46171</v>
      </c>
      <c r="I2847" t="s">
        <v>217</v>
      </c>
    </row>
    <row r="2848" spans="1:9">
      <c r="A2848">
        <v>52847</v>
      </c>
      <c r="B2848">
        <v>3242</v>
      </c>
      <c r="C2848">
        <v>2014</v>
      </c>
      <c r="D2848" s="7">
        <v>46178</v>
      </c>
      <c r="E2848" t="s">
        <v>212</v>
      </c>
      <c r="F2848" t="s">
        <v>202</v>
      </c>
      <c r="G2848">
        <v>45</v>
      </c>
      <c r="H2848" s="7">
        <v>46185</v>
      </c>
      <c r="I2848" t="s">
        <v>216</v>
      </c>
    </row>
    <row r="2849" spans="1:9">
      <c r="A2849">
        <v>52848</v>
      </c>
      <c r="B2849">
        <v>3242</v>
      </c>
      <c r="C2849">
        <v>2014</v>
      </c>
      <c r="D2849" s="7">
        <v>46193</v>
      </c>
      <c r="E2849" t="s">
        <v>212</v>
      </c>
      <c r="F2849" t="s">
        <v>214</v>
      </c>
      <c r="H2849" s="7">
        <v>46200</v>
      </c>
      <c r="I2849" t="s">
        <v>216</v>
      </c>
    </row>
    <row r="2850" spans="1:9">
      <c r="A2850">
        <v>52849</v>
      </c>
      <c r="B2850">
        <v>3242</v>
      </c>
      <c r="C2850">
        <v>2014</v>
      </c>
      <c r="D2850" s="7">
        <v>46208</v>
      </c>
      <c r="E2850" t="s">
        <v>219</v>
      </c>
      <c r="F2850" t="s">
        <v>202</v>
      </c>
      <c r="G2850">
        <v>15</v>
      </c>
      <c r="H2850" s="7"/>
      <c r="I2850" t="s">
        <v>206</v>
      </c>
    </row>
    <row r="2851" spans="1:9">
      <c r="A2851">
        <v>52850</v>
      </c>
      <c r="B2851">
        <v>3243</v>
      </c>
      <c r="C2851">
        <v>2011</v>
      </c>
      <c r="D2851" s="7">
        <v>46054</v>
      </c>
      <c r="E2851" t="s">
        <v>212</v>
      </c>
      <c r="F2851" t="s">
        <v>202</v>
      </c>
      <c r="G2851">
        <v>60</v>
      </c>
      <c r="H2851" s="7">
        <v>46084</v>
      </c>
      <c r="I2851" t="s">
        <v>207</v>
      </c>
    </row>
    <row r="2852" spans="1:9">
      <c r="A2852">
        <v>52851</v>
      </c>
      <c r="B2852">
        <v>3243</v>
      </c>
      <c r="C2852">
        <v>2011</v>
      </c>
      <c r="D2852" s="7">
        <v>46057</v>
      </c>
      <c r="E2852" t="s">
        <v>204</v>
      </c>
      <c r="F2852" t="s">
        <v>202</v>
      </c>
      <c r="G2852">
        <v>30</v>
      </c>
      <c r="H2852" s="7">
        <v>46071</v>
      </c>
      <c r="I2852" t="s">
        <v>209</v>
      </c>
    </row>
    <row r="2853" spans="1:9">
      <c r="A2853">
        <v>52852</v>
      </c>
      <c r="B2853">
        <v>3243</v>
      </c>
      <c r="C2853">
        <v>2011</v>
      </c>
      <c r="D2853" s="7">
        <v>46058</v>
      </c>
      <c r="E2853" t="s">
        <v>210</v>
      </c>
      <c r="F2853" t="s">
        <v>202</v>
      </c>
      <c r="G2853">
        <v>60</v>
      </c>
      <c r="H2853" s="7">
        <v>46061</v>
      </c>
      <c r="I2853" t="s">
        <v>207</v>
      </c>
    </row>
    <row r="2854" spans="1:9">
      <c r="A2854">
        <v>52853</v>
      </c>
      <c r="B2854">
        <v>3243</v>
      </c>
      <c r="C2854">
        <v>2011</v>
      </c>
      <c r="D2854" s="7">
        <v>46058</v>
      </c>
      <c r="E2854" t="s">
        <v>210</v>
      </c>
      <c r="F2854" t="s">
        <v>218</v>
      </c>
      <c r="H2854" s="7"/>
      <c r="I2854" t="s">
        <v>206</v>
      </c>
    </row>
    <row r="2855" spans="1:9">
      <c r="A2855">
        <v>52854</v>
      </c>
      <c r="B2855">
        <v>3243</v>
      </c>
      <c r="C2855">
        <v>2011</v>
      </c>
      <c r="D2855" s="7">
        <v>46059</v>
      </c>
      <c r="E2855" t="s">
        <v>212</v>
      </c>
      <c r="F2855" t="s">
        <v>202</v>
      </c>
      <c r="G2855">
        <v>10</v>
      </c>
      <c r="H2855" s="7">
        <v>46080</v>
      </c>
      <c r="I2855" t="s">
        <v>216</v>
      </c>
    </row>
    <row r="2856" spans="1:9">
      <c r="A2856">
        <v>52855</v>
      </c>
      <c r="B2856">
        <v>3243</v>
      </c>
      <c r="C2856">
        <v>2011</v>
      </c>
      <c r="D2856" s="7">
        <v>46063</v>
      </c>
      <c r="E2856" t="s">
        <v>219</v>
      </c>
      <c r="F2856" t="s">
        <v>202</v>
      </c>
      <c r="G2856">
        <v>10</v>
      </c>
      <c r="H2856" s="7">
        <v>46084</v>
      </c>
      <c r="I2856" t="s">
        <v>209</v>
      </c>
    </row>
    <row r="2857" spans="1:9">
      <c r="A2857">
        <v>52856</v>
      </c>
      <c r="B2857">
        <v>3243</v>
      </c>
      <c r="C2857">
        <v>2011</v>
      </c>
      <c r="D2857" s="7">
        <v>46071</v>
      </c>
      <c r="E2857" t="s">
        <v>201</v>
      </c>
      <c r="F2857" t="s">
        <v>205</v>
      </c>
      <c r="H2857" s="7"/>
      <c r="I2857" t="s">
        <v>207</v>
      </c>
    </row>
    <row r="2858" spans="1:9">
      <c r="A2858">
        <v>52857</v>
      </c>
      <c r="B2858">
        <v>3243</v>
      </c>
      <c r="C2858">
        <v>2011</v>
      </c>
      <c r="D2858" s="7">
        <v>46072</v>
      </c>
      <c r="E2858" t="s">
        <v>210</v>
      </c>
      <c r="F2858" t="s">
        <v>218</v>
      </c>
      <c r="H2858" s="7"/>
      <c r="I2858" t="s">
        <v>217</v>
      </c>
    </row>
    <row r="2859" spans="1:9">
      <c r="A2859">
        <v>52858</v>
      </c>
      <c r="B2859">
        <v>3243</v>
      </c>
      <c r="C2859">
        <v>2011</v>
      </c>
      <c r="D2859" s="7">
        <v>46072</v>
      </c>
      <c r="E2859" t="s">
        <v>201</v>
      </c>
      <c r="F2859" t="s">
        <v>202</v>
      </c>
      <c r="G2859">
        <v>10</v>
      </c>
      <c r="H2859" s="7">
        <v>46102</v>
      </c>
      <c r="I2859" t="s">
        <v>206</v>
      </c>
    </row>
    <row r="2860" spans="1:9">
      <c r="A2860">
        <v>52859</v>
      </c>
      <c r="B2860">
        <v>3244</v>
      </c>
      <c r="C2860">
        <v>2012</v>
      </c>
      <c r="D2860" s="7">
        <v>45457</v>
      </c>
      <c r="E2860" t="s">
        <v>219</v>
      </c>
      <c r="F2860" t="s">
        <v>202</v>
      </c>
      <c r="G2860">
        <v>20</v>
      </c>
      <c r="H2860" s="7">
        <v>45487</v>
      </c>
      <c r="I2860" t="s">
        <v>217</v>
      </c>
    </row>
    <row r="2861" spans="1:9">
      <c r="A2861">
        <v>52860</v>
      </c>
      <c r="B2861">
        <v>3244</v>
      </c>
      <c r="C2861">
        <v>2012</v>
      </c>
      <c r="D2861" s="7">
        <v>45564</v>
      </c>
      <c r="E2861" t="s">
        <v>204</v>
      </c>
      <c r="F2861" t="s">
        <v>213</v>
      </c>
      <c r="H2861" s="7">
        <v>45571</v>
      </c>
      <c r="I2861" t="s">
        <v>211</v>
      </c>
    </row>
    <row r="2862" spans="1:9">
      <c r="A2862">
        <v>52861</v>
      </c>
      <c r="B2862">
        <v>3244</v>
      </c>
      <c r="C2862">
        <v>2012</v>
      </c>
      <c r="D2862" s="7">
        <v>45585</v>
      </c>
      <c r="E2862" t="s">
        <v>210</v>
      </c>
      <c r="F2862" t="s">
        <v>213</v>
      </c>
      <c r="H2862" s="7">
        <v>45599</v>
      </c>
      <c r="I2862" t="s">
        <v>206</v>
      </c>
    </row>
    <row r="2863" spans="1:9">
      <c r="A2863">
        <v>52862</v>
      </c>
      <c r="B2863">
        <v>3244</v>
      </c>
      <c r="C2863">
        <v>2012</v>
      </c>
      <c r="D2863" s="7">
        <v>45748</v>
      </c>
      <c r="E2863" t="s">
        <v>201</v>
      </c>
      <c r="F2863" t="s">
        <v>213</v>
      </c>
      <c r="H2863" s="7">
        <v>45755</v>
      </c>
      <c r="I2863" t="s">
        <v>209</v>
      </c>
    </row>
    <row r="2864" spans="1:9">
      <c r="A2864">
        <v>52863</v>
      </c>
      <c r="B2864">
        <v>3244</v>
      </c>
      <c r="C2864">
        <v>2012</v>
      </c>
      <c r="D2864" s="7">
        <v>45809</v>
      </c>
      <c r="E2864" t="s">
        <v>208</v>
      </c>
      <c r="F2864" t="s">
        <v>202</v>
      </c>
      <c r="G2864">
        <v>10</v>
      </c>
      <c r="H2864" s="7">
        <v>45812</v>
      </c>
      <c r="I2864" t="s">
        <v>207</v>
      </c>
    </row>
    <row r="2865" spans="1:9">
      <c r="A2865">
        <v>52864</v>
      </c>
      <c r="B2865">
        <v>3244</v>
      </c>
      <c r="C2865">
        <v>2012</v>
      </c>
      <c r="D2865" s="7">
        <v>45857</v>
      </c>
      <c r="E2865" t="s">
        <v>204</v>
      </c>
      <c r="F2865" t="s">
        <v>202</v>
      </c>
      <c r="G2865">
        <v>90</v>
      </c>
      <c r="H2865" s="7">
        <v>45864</v>
      </c>
      <c r="I2865" t="s">
        <v>211</v>
      </c>
    </row>
    <row r="2866" spans="1:9">
      <c r="A2866">
        <v>52865</v>
      </c>
      <c r="B2866">
        <v>3244</v>
      </c>
      <c r="C2866">
        <v>2012</v>
      </c>
      <c r="D2866" s="7">
        <v>46076</v>
      </c>
      <c r="E2866" t="s">
        <v>212</v>
      </c>
      <c r="F2866" t="s">
        <v>214</v>
      </c>
      <c r="H2866" s="7">
        <v>46097</v>
      </c>
      <c r="I2866" t="s">
        <v>206</v>
      </c>
    </row>
    <row r="2867" spans="1:9">
      <c r="A2867">
        <v>52866</v>
      </c>
      <c r="B2867">
        <v>3244</v>
      </c>
      <c r="C2867">
        <v>2012</v>
      </c>
      <c r="D2867" s="7">
        <v>46083</v>
      </c>
      <c r="E2867" t="s">
        <v>204</v>
      </c>
      <c r="F2867" t="s">
        <v>215</v>
      </c>
      <c r="G2867">
        <v>30</v>
      </c>
      <c r="H2867" s="7">
        <v>46086</v>
      </c>
      <c r="I2867" t="s">
        <v>209</v>
      </c>
    </row>
    <row r="2868" spans="1:9">
      <c r="A2868">
        <v>52867</v>
      </c>
      <c r="B2868">
        <v>3244</v>
      </c>
      <c r="C2868">
        <v>2012</v>
      </c>
      <c r="D2868" s="7">
        <v>46182</v>
      </c>
      <c r="E2868" t="s">
        <v>212</v>
      </c>
      <c r="F2868" t="s">
        <v>215</v>
      </c>
      <c r="G2868">
        <v>45</v>
      </c>
      <c r="H2868" s="7">
        <v>46189</v>
      </c>
      <c r="I2868" t="s">
        <v>211</v>
      </c>
    </row>
    <row r="2869" spans="1:9">
      <c r="A2869">
        <v>52868</v>
      </c>
      <c r="B2869">
        <v>3245</v>
      </c>
      <c r="C2869">
        <v>2018</v>
      </c>
      <c r="D2869" s="7">
        <v>45498</v>
      </c>
      <c r="E2869" t="s">
        <v>204</v>
      </c>
      <c r="F2869" t="s">
        <v>202</v>
      </c>
      <c r="G2869">
        <v>60</v>
      </c>
      <c r="H2869" s="7">
        <v>45501</v>
      </c>
      <c r="I2869" t="s">
        <v>211</v>
      </c>
    </row>
    <row r="2870" spans="1:9">
      <c r="A2870">
        <v>52869</v>
      </c>
      <c r="B2870">
        <v>3245</v>
      </c>
      <c r="C2870">
        <v>2018</v>
      </c>
      <c r="D2870" s="7">
        <v>45559</v>
      </c>
      <c r="E2870" t="s">
        <v>219</v>
      </c>
      <c r="F2870" t="s">
        <v>202</v>
      </c>
      <c r="G2870">
        <v>45</v>
      </c>
      <c r="H2870" s="7">
        <v>45562</v>
      </c>
      <c r="I2870" t="s">
        <v>216</v>
      </c>
    </row>
    <row r="2871" spans="1:9">
      <c r="A2871">
        <v>52870</v>
      </c>
      <c r="B2871">
        <v>3245</v>
      </c>
      <c r="C2871">
        <v>2018</v>
      </c>
      <c r="D2871" s="7">
        <v>45641</v>
      </c>
      <c r="E2871" t="s">
        <v>212</v>
      </c>
      <c r="F2871" t="s">
        <v>202</v>
      </c>
      <c r="G2871">
        <v>20</v>
      </c>
      <c r="H2871" s="7">
        <v>45662</v>
      </c>
      <c r="I2871" t="s">
        <v>217</v>
      </c>
    </row>
    <row r="2872" spans="1:9">
      <c r="A2872">
        <v>52871</v>
      </c>
      <c r="B2872">
        <v>3245</v>
      </c>
      <c r="C2872">
        <v>2018</v>
      </c>
      <c r="D2872" s="7">
        <v>45871</v>
      </c>
      <c r="E2872" t="s">
        <v>201</v>
      </c>
      <c r="F2872" t="s">
        <v>202</v>
      </c>
      <c r="G2872">
        <v>30</v>
      </c>
      <c r="H2872" s="7">
        <v>45901</v>
      </c>
      <c r="I2872" t="s">
        <v>209</v>
      </c>
    </row>
    <row r="2873" spans="1:9">
      <c r="A2873">
        <v>52872</v>
      </c>
      <c r="B2873">
        <v>3245</v>
      </c>
      <c r="C2873">
        <v>2018</v>
      </c>
      <c r="D2873" s="7">
        <v>45938</v>
      </c>
      <c r="E2873" t="s">
        <v>212</v>
      </c>
      <c r="F2873" t="s">
        <v>202</v>
      </c>
      <c r="G2873">
        <v>15</v>
      </c>
      <c r="H2873" s="7">
        <v>45952</v>
      </c>
      <c r="I2873" t="s">
        <v>206</v>
      </c>
    </row>
    <row r="2874" spans="1:9">
      <c r="A2874">
        <v>52873</v>
      </c>
      <c r="B2874">
        <v>3245</v>
      </c>
      <c r="C2874">
        <v>2018</v>
      </c>
      <c r="D2874" s="7">
        <v>45946</v>
      </c>
      <c r="E2874" t="s">
        <v>212</v>
      </c>
      <c r="F2874" t="s">
        <v>205</v>
      </c>
      <c r="H2874" s="7"/>
      <c r="I2874" t="s">
        <v>203</v>
      </c>
    </row>
    <row r="2875" spans="1:9">
      <c r="A2875">
        <v>52874</v>
      </c>
      <c r="B2875">
        <v>3245</v>
      </c>
      <c r="C2875">
        <v>2018</v>
      </c>
      <c r="D2875" s="7">
        <v>46110</v>
      </c>
      <c r="E2875" t="s">
        <v>219</v>
      </c>
      <c r="F2875" t="s">
        <v>202</v>
      </c>
      <c r="G2875">
        <v>20</v>
      </c>
      <c r="H2875" s="7">
        <v>46131</v>
      </c>
      <c r="I2875" t="s">
        <v>207</v>
      </c>
    </row>
    <row r="2876" spans="1:9">
      <c r="A2876">
        <v>52875</v>
      </c>
      <c r="B2876">
        <v>3245</v>
      </c>
      <c r="C2876">
        <v>2018</v>
      </c>
      <c r="D2876" s="7">
        <v>46137</v>
      </c>
      <c r="E2876" t="s">
        <v>210</v>
      </c>
      <c r="F2876" t="s">
        <v>214</v>
      </c>
      <c r="H2876" s="7">
        <v>46140</v>
      </c>
      <c r="I2876" t="s">
        <v>206</v>
      </c>
    </row>
    <row r="2877" spans="1:9">
      <c r="A2877">
        <v>52876</v>
      </c>
      <c r="B2877">
        <v>3246</v>
      </c>
      <c r="C2877">
        <v>2015</v>
      </c>
      <c r="D2877" s="7">
        <v>45809</v>
      </c>
      <c r="E2877" t="s">
        <v>201</v>
      </c>
      <c r="F2877" t="s">
        <v>202</v>
      </c>
      <c r="G2877">
        <v>60</v>
      </c>
      <c r="H2877" s="7">
        <v>45839</v>
      </c>
      <c r="I2877" t="s">
        <v>203</v>
      </c>
    </row>
    <row r="2878" spans="1:9">
      <c r="A2878">
        <v>52877</v>
      </c>
      <c r="B2878">
        <v>3246</v>
      </c>
      <c r="C2878">
        <v>2015</v>
      </c>
      <c r="D2878" s="7">
        <v>45903</v>
      </c>
      <c r="E2878" t="s">
        <v>212</v>
      </c>
      <c r="F2878" t="s">
        <v>202</v>
      </c>
      <c r="G2878">
        <v>10</v>
      </c>
      <c r="H2878" s="7">
        <v>45906</v>
      </c>
      <c r="I2878" t="s">
        <v>206</v>
      </c>
    </row>
    <row r="2879" spans="1:9">
      <c r="A2879">
        <v>52878</v>
      </c>
      <c r="B2879">
        <v>3246</v>
      </c>
      <c r="C2879">
        <v>2015</v>
      </c>
      <c r="D2879" s="7">
        <v>45935</v>
      </c>
      <c r="E2879" t="s">
        <v>212</v>
      </c>
      <c r="F2879" t="s">
        <v>202</v>
      </c>
      <c r="G2879">
        <v>45</v>
      </c>
      <c r="H2879" s="7">
        <v>45949</v>
      </c>
      <c r="I2879" t="s">
        <v>203</v>
      </c>
    </row>
    <row r="2880" spans="1:9">
      <c r="A2880">
        <v>52879</v>
      </c>
      <c r="B2880">
        <v>3246</v>
      </c>
      <c r="C2880">
        <v>2015</v>
      </c>
      <c r="D2880" s="7">
        <v>45986</v>
      </c>
      <c r="E2880" t="s">
        <v>219</v>
      </c>
      <c r="F2880" t="s">
        <v>202</v>
      </c>
      <c r="G2880">
        <v>10</v>
      </c>
      <c r="H2880" s="7">
        <v>46000</v>
      </c>
      <c r="I2880" t="s">
        <v>203</v>
      </c>
    </row>
    <row r="2881" spans="1:9">
      <c r="A2881">
        <v>52880</v>
      </c>
      <c r="B2881">
        <v>3246</v>
      </c>
      <c r="C2881">
        <v>2015</v>
      </c>
      <c r="D2881" s="7">
        <v>46063</v>
      </c>
      <c r="E2881" t="s">
        <v>204</v>
      </c>
      <c r="F2881" t="s">
        <v>202</v>
      </c>
      <c r="G2881">
        <v>10</v>
      </c>
      <c r="H2881" s="7">
        <v>46084</v>
      </c>
      <c r="I2881" t="s">
        <v>211</v>
      </c>
    </row>
    <row r="2882" spans="1:9">
      <c r="A2882">
        <v>52881</v>
      </c>
      <c r="B2882">
        <v>3246</v>
      </c>
      <c r="C2882">
        <v>2015</v>
      </c>
      <c r="D2882" s="7">
        <v>46099</v>
      </c>
      <c r="E2882" t="s">
        <v>210</v>
      </c>
      <c r="F2882" t="s">
        <v>213</v>
      </c>
      <c r="H2882" s="7">
        <v>46106</v>
      </c>
      <c r="I2882" t="s">
        <v>206</v>
      </c>
    </row>
    <row r="2883" spans="1:9">
      <c r="A2883">
        <v>52882</v>
      </c>
      <c r="B2883">
        <v>3246</v>
      </c>
      <c r="C2883">
        <v>2015</v>
      </c>
      <c r="D2883" s="7">
        <v>46138</v>
      </c>
      <c r="E2883" t="s">
        <v>219</v>
      </c>
      <c r="F2883" t="s">
        <v>202</v>
      </c>
      <c r="G2883">
        <v>45</v>
      </c>
      <c r="H2883" s="7">
        <v>46159</v>
      </c>
      <c r="I2883" t="s">
        <v>216</v>
      </c>
    </row>
    <row r="2884" spans="1:9">
      <c r="A2884">
        <v>52883</v>
      </c>
      <c r="B2884">
        <v>3246</v>
      </c>
      <c r="C2884">
        <v>2015</v>
      </c>
      <c r="D2884" s="7">
        <v>46145</v>
      </c>
      <c r="E2884" t="s">
        <v>201</v>
      </c>
      <c r="F2884" t="s">
        <v>202</v>
      </c>
      <c r="G2884">
        <v>20</v>
      </c>
      <c r="H2884" s="7">
        <v>46166</v>
      </c>
      <c r="I2884" t="s">
        <v>203</v>
      </c>
    </row>
    <row r="2885" spans="1:9">
      <c r="A2885">
        <v>52884</v>
      </c>
      <c r="B2885">
        <v>3246</v>
      </c>
      <c r="C2885">
        <v>2015</v>
      </c>
      <c r="D2885" s="7">
        <v>46205</v>
      </c>
      <c r="E2885" t="s">
        <v>212</v>
      </c>
      <c r="F2885" t="s">
        <v>202</v>
      </c>
      <c r="G2885">
        <v>15</v>
      </c>
      <c r="H2885" s="7">
        <v>46212</v>
      </c>
      <c r="I2885" t="s">
        <v>211</v>
      </c>
    </row>
    <row r="2886" spans="1:9">
      <c r="A2886">
        <v>52885</v>
      </c>
      <c r="B2886">
        <v>3247</v>
      </c>
      <c r="C2886">
        <v>2005</v>
      </c>
      <c r="D2886" s="7">
        <v>46094</v>
      </c>
      <c r="E2886" t="s">
        <v>212</v>
      </c>
      <c r="F2886" t="s">
        <v>202</v>
      </c>
      <c r="G2886">
        <v>45</v>
      </c>
      <c r="H2886" s="7">
        <v>46108</v>
      </c>
      <c r="I2886" t="s">
        <v>207</v>
      </c>
    </row>
    <row r="2887" spans="1:9">
      <c r="A2887">
        <v>52886</v>
      </c>
      <c r="B2887">
        <v>3247</v>
      </c>
      <c r="C2887">
        <v>2005</v>
      </c>
      <c r="D2887" s="7">
        <v>46118</v>
      </c>
      <c r="E2887" t="s">
        <v>219</v>
      </c>
      <c r="F2887" t="s">
        <v>202</v>
      </c>
      <c r="G2887">
        <v>45</v>
      </c>
      <c r="H2887" s="7">
        <v>46148</v>
      </c>
      <c r="I2887" t="s">
        <v>203</v>
      </c>
    </row>
    <row r="2888" spans="1:9">
      <c r="A2888">
        <v>52887</v>
      </c>
      <c r="B2888">
        <v>3247</v>
      </c>
      <c r="C2888">
        <v>2005</v>
      </c>
      <c r="D2888" s="7">
        <v>46196</v>
      </c>
      <c r="E2888" t="s">
        <v>208</v>
      </c>
      <c r="F2888" t="s">
        <v>202</v>
      </c>
      <c r="G2888">
        <v>10</v>
      </c>
      <c r="H2888" s="7"/>
      <c r="I2888" t="s">
        <v>206</v>
      </c>
    </row>
    <row r="2889" spans="1:9">
      <c r="A2889">
        <v>52888</v>
      </c>
      <c r="B2889">
        <v>3247</v>
      </c>
      <c r="C2889">
        <v>2005</v>
      </c>
      <c r="D2889" s="7">
        <v>46213</v>
      </c>
      <c r="E2889" t="s">
        <v>212</v>
      </c>
      <c r="F2889" t="s">
        <v>214</v>
      </c>
      <c r="H2889" s="7"/>
      <c r="I2889" t="s">
        <v>209</v>
      </c>
    </row>
    <row r="2890" spans="1:9">
      <c r="A2890">
        <v>52889</v>
      </c>
      <c r="B2890">
        <v>3247</v>
      </c>
      <c r="C2890">
        <v>2005</v>
      </c>
      <c r="D2890" s="7">
        <v>46213</v>
      </c>
      <c r="E2890" t="s">
        <v>210</v>
      </c>
      <c r="F2890" t="s">
        <v>218</v>
      </c>
      <c r="H2890" s="7"/>
      <c r="I2890" t="s">
        <v>207</v>
      </c>
    </row>
    <row r="2891" spans="1:9">
      <c r="A2891">
        <v>52890</v>
      </c>
      <c r="B2891">
        <v>3248</v>
      </c>
      <c r="C2891">
        <v>2006</v>
      </c>
      <c r="D2891" s="7">
        <v>45461</v>
      </c>
      <c r="E2891" t="s">
        <v>212</v>
      </c>
      <c r="F2891" t="s">
        <v>202</v>
      </c>
      <c r="G2891">
        <v>60</v>
      </c>
      <c r="H2891" s="7">
        <v>45475</v>
      </c>
      <c r="I2891" t="s">
        <v>211</v>
      </c>
    </row>
    <row r="2892" spans="1:9">
      <c r="A2892">
        <v>52891</v>
      </c>
      <c r="B2892">
        <v>3248</v>
      </c>
      <c r="C2892">
        <v>2006</v>
      </c>
      <c r="D2892" s="7">
        <v>45543</v>
      </c>
      <c r="E2892" t="s">
        <v>204</v>
      </c>
      <c r="F2892" t="s">
        <v>218</v>
      </c>
      <c r="H2892" s="7"/>
      <c r="I2892" t="s">
        <v>216</v>
      </c>
    </row>
    <row r="2893" spans="1:9">
      <c r="A2893">
        <v>52892</v>
      </c>
      <c r="B2893">
        <v>3248</v>
      </c>
      <c r="C2893">
        <v>2006</v>
      </c>
      <c r="D2893" s="7">
        <v>45737</v>
      </c>
      <c r="E2893" t="s">
        <v>212</v>
      </c>
      <c r="F2893" t="s">
        <v>202</v>
      </c>
      <c r="G2893">
        <v>15</v>
      </c>
      <c r="H2893" s="7">
        <v>45744</v>
      </c>
      <c r="I2893" t="s">
        <v>203</v>
      </c>
    </row>
    <row r="2894" spans="1:9">
      <c r="A2894">
        <v>52893</v>
      </c>
      <c r="B2894">
        <v>3248</v>
      </c>
      <c r="C2894">
        <v>2006</v>
      </c>
      <c r="D2894" s="7">
        <v>45802</v>
      </c>
      <c r="E2894" t="s">
        <v>212</v>
      </c>
      <c r="F2894" t="s">
        <v>205</v>
      </c>
      <c r="H2894" s="7"/>
      <c r="I2894" t="s">
        <v>216</v>
      </c>
    </row>
    <row r="2895" spans="1:9">
      <c r="A2895">
        <v>52894</v>
      </c>
      <c r="B2895">
        <v>3248</v>
      </c>
      <c r="C2895">
        <v>2006</v>
      </c>
      <c r="D2895" s="7">
        <v>45805</v>
      </c>
      <c r="E2895" t="s">
        <v>212</v>
      </c>
      <c r="F2895" t="s">
        <v>218</v>
      </c>
      <c r="H2895" s="7"/>
      <c r="I2895" t="s">
        <v>217</v>
      </c>
    </row>
    <row r="2896" spans="1:9">
      <c r="A2896">
        <v>52895</v>
      </c>
      <c r="B2896">
        <v>3248</v>
      </c>
      <c r="C2896">
        <v>2006</v>
      </c>
      <c r="D2896" s="7">
        <v>45877</v>
      </c>
      <c r="E2896" t="s">
        <v>201</v>
      </c>
      <c r="F2896" t="s">
        <v>202</v>
      </c>
      <c r="G2896">
        <v>30</v>
      </c>
      <c r="H2896" s="7">
        <v>45898</v>
      </c>
      <c r="I2896" t="s">
        <v>216</v>
      </c>
    </row>
    <row r="2897" spans="1:9">
      <c r="A2897">
        <v>52896</v>
      </c>
      <c r="B2897">
        <v>3249</v>
      </c>
      <c r="C2897">
        <v>2008</v>
      </c>
      <c r="D2897" s="7">
        <v>46068</v>
      </c>
      <c r="E2897" t="s">
        <v>212</v>
      </c>
      <c r="F2897" t="s">
        <v>213</v>
      </c>
      <c r="H2897" s="7">
        <v>46098</v>
      </c>
      <c r="I2897" t="s">
        <v>216</v>
      </c>
    </row>
    <row r="2898" spans="1:9">
      <c r="A2898">
        <v>52897</v>
      </c>
      <c r="B2898">
        <v>3249</v>
      </c>
      <c r="C2898">
        <v>2008</v>
      </c>
      <c r="D2898" s="7">
        <v>46083</v>
      </c>
      <c r="E2898" t="s">
        <v>212</v>
      </c>
      <c r="F2898" t="s">
        <v>202</v>
      </c>
      <c r="G2898">
        <v>10</v>
      </c>
      <c r="H2898" s="7">
        <v>46104</v>
      </c>
      <c r="I2898" t="s">
        <v>216</v>
      </c>
    </row>
    <row r="2899" spans="1:9">
      <c r="A2899">
        <v>52898</v>
      </c>
      <c r="B2899">
        <v>3249</v>
      </c>
      <c r="C2899">
        <v>2008</v>
      </c>
      <c r="D2899" s="7">
        <v>46089</v>
      </c>
      <c r="E2899" t="s">
        <v>219</v>
      </c>
      <c r="F2899" t="s">
        <v>213</v>
      </c>
      <c r="H2899" s="7">
        <v>46096</v>
      </c>
      <c r="I2899" t="s">
        <v>203</v>
      </c>
    </row>
    <row r="2900" spans="1:9">
      <c r="A2900">
        <v>52899</v>
      </c>
      <c r="B2900">
        <v>3249</v>
      </c>
      <c r="C2900">
        <v>2008</v>
      </c>
      <c r="D2900" s="7">
        <v>46090</v>
      </c>
      <c r="E2900" t="s">
        <v>208</v>
      </c>
      <c r="F2900" t="s">
        <v>215</v>
      </c>
      <c r="G2900">
        <v>30</v>
      </c>
      <c r="H2900" s="7">
        <v>46111</v>
      </c>
      <c r="I2900" t="s">
        <v>216</v>
      </c>
    </row>
    <row r="2901" spans="1:9">
      <c r="A2901">
        <v>52900</v>
      </c>
      <c r="B2901">
        <v>3249</v>
      </c>
      <c r="C2901">
        <v>2008</v>
      </c>
      <c r="D2901" s="7">
        <v>46112</v>
      </c>
      <c r="E2901" t="s">
        <v>210</v>
      </c>
      <c r="F2901" t="s">
        <v>218</v>
      </c>
      <c r="H2901" s="7"/>
      <c r="I2901" t="s">
        <v>217</v>
      </c>
    </row>
    <row r="2902" spans="1:9">
      <c r="A2902">
        <v>52901</v>
      </c>
      <c r="B2902">
        <v>3249</v>
      </c>
      <c r="C2902">
        <v>2008</v>
      </c>
      <c r="D2902" s="7">
        <v>46114</v>
      </c>
      <c r="E2902" t="s">
        <v>204</v>
      </c>
      <c r="F2902" t="s">
        <v>205</v>
      </c>
      <c r="H2902" s="7"/>
      <c r="I2902" t="s">
        <v>206</v>
      </c>
    </row>
    <row r="2903" spans="1:9">
      <c r="A2903">
        <v>52902</v>
      </c>
      <c r="B2903">
        <v>3249</v>
      </c>
      <c r="C2903">
        <v>2008</v>
      </c>
      <c r="D2903" s="7">
        <v>46121</v>
      </c>
      <c r="E2903" t="s">
        <v>208</v>
      </c>
      <c r="F2903" t="s">
        <v>213</v>
      </c>
      <c r="H2903" s="7">
        <v>46151</v>
      </c>
      <c r="I2903" t="s">
        <v>217</v>
      </c>
    </row>
    <row r="2904" spans="1:9">
      <c r="A2904">
        <v>52903</v>
      </c>
      <c r="B2904">
        <v>3249</v>
      </c>
      <c r="C2904">
        <v>2008</v>
      </c>
      <c r="D2904" s="7">
        <v>46145</v>
      </c>
      <c r="E2904" t="s">
        <v>208</v>
      </c>
      <c r="F2904" t="s">
        <v>202</v>
      </c>
      <c r="G2904">
        <v>60</v>
      </c>
      <c r="H2904" s="7">
        <v>46159</v>
      </c>
      <c r="I2904" t="s">
        <v>206</v>
      </c>
    </row>
    <row r="2905" spans="1:9">
      <c r="A2905">
        <v>52904</v>
      </c>
      <c r="B2905">
        <v>3249</v>
      </c>
      <c r="C2905">
        <v>2008</v>
      </c>
      <c r="D2905" s="7">
        <v>46149</v>
      </c>
      <c r="E2905" t="s">
        <v>210</v>
      </c>
      <c r="F2905" t="s">
        <v>213</v>
      </c>
      <c r="H2905" s="7">
        <v>46156</v>
      </c>
      <c r="I2905" t="s">
        <v>209</v>
      </c>
    </row>
    <row r="2906" spans="1:9">
      <c r="A2906">
        <v>52905</v>
      </c>
      <c r="B2906">
        <v>3249</v>
      </c>
      <c r="C2906">
        <v>2008</v>
      </c>
      <c r="D2906" s="7">
        <v>46151</v>
      </c>
      <c r="E2906" t="s">
        <v>210</v>
      </c>
      <c r="F2906" t="s">
        <v>214</v>
      </c>
      <c r="H2906" s="7">
        <v>46158</v>
      </c>
      <c r="I2906" t="s">
        <v>203</v>
      </c>
    </row>
    <row r="2907" spans="1:9">
      <c r="A2907">
        <v>52906</v>
      </c>
      <c r="B2907">
        <v>3249</v>
      </c>
      <c r="C2907">
        <v>2008</v>
      </c>
      <c r="D2907" s="7">
        <v>46152</v>
      </c>
      <c r="E2907" t="s">
        <v>219</v>
      </c>
      <c r="F2907" t="s">
        <v>202</v>
      </c>
      <c r="G2907">
        <v>45</v>
      </c>
      <c r="H2907" s="7">
        <v>46159</v>
      </c>
      <c r="I2907" t="s">
        <v>209</v>
      </c>
    </row>
    <row r="2908" spans="1:9">
      <c r="A2908">
        <v>52907</v>
      </c>
      <c r="B2908">
        <v>3249</v>
      </c>
      <c r="C2908">
        <v>2008</v>
      </c>
      <c r="D2908" s="7">
        <v>46153</v>
      </c>
      <c r="E2908" t="s">
        <v>212</v>
      </c>
      <c r="F2908" t="s">
        <v>202</v>
      </c>
      <c r="G2908">
        <v>20</v>
      </c>
      <c r="H2908" s="7">
        <v>46160</v>
      </c>
      <c r="I2908" t="s">
        <v>209</v>
      </c>
    </row>
    <row r="2909" spans="1:9">
      <c r="A2909">
        <v>52908</v>
      </c>
      <c r="B2909">
        <v>3249</v>
      </c>
      <c r="C2909">
        <v>2008</v>
      </c>
      <c r="D2909" s="7">
        <v>46157</v>
      </c>
      <c r="E2909" t="s">
        <v>212</v>
      </c>
      <c r="F2909" t="s">
        <v>202</v>
      </c>
      <c r="G2909">
        <v>90</v>
      </c>
      <c r="H2909" s="7">
        <v>46178</v>
      </c>
      <c r="I2909" t="s">
        <v>203</v>
      </c>
    </row>
    <row r="2910" spans="1:9">
      <c r="A2910">
        <v>52909</v>
      </c>
      <c r="B2910">
        <v>3249</v>
      </c>
      <c r="C2910">
        <v>2008</v>
      </c>
      <c r="D2910" s="7">
        <v>46161</v>
      </c>
      <c r="E2910" t="s">
        <v>204</v>
      </c>
      <c r="F2910" t="s">
        <v>215</v>
      </c>
      <c r="G2910">
        <v>60</v>
      </c>
      <c r="H2910" s="7">
        <v>46182</v>
      </c>
      <c r="I2910" t="s">
        <v>211</v>
      </c>
    </row>
    <row r="2911" spans="1:9">
      <c r="A2911">
        <v>52910</v>
      </c>
      <c r="B2911">
        <v>3249</v>
      </c>
      <c r="C2911">
        <v>2008</v>
      </c>
      <c r="D2911" s="7">
        <v>46197</v>
      </c>
      <c r="E2911" t="s">
        <v>212</v>
      </c>
      <c r="F2911" t="s">
        <v>215</v>
      </c>
      <c r="G2911">
        <v>30</v>
      </c>
      <c r="H2911" s="7"/>
      <c r="I2911" t="s">
        <v>206</v>
      </c>
    </row>
    <row r="2912" spans="1:9">
      <c r="A2912">
        <v>52911</v>
      </c>
      <c r="B2912">
        <v>3249</v>
      </c>
      <c r="C2912">
        <v>2008</v>
      </c>
      <c r="D2912" s="7">
        <v>46198</v>
      </c>
      <c r="E2912" t="s">
        <v>212</v>
      </c>
      <c r="F2912" t="s">
        <v>202</v>
      </c>
      <c r="G2912">
        <v>30</v>
      </c>
      <c r="H2912" s="7">
        <v>46212</v>
      </c>
      <c r="I2912" t="s">
        <v>216</v>
      </c>
    </row>
    <row r="2913" spans="1:9">
      <c r="A2913">
        <v>52912</v>
      </c>
      <c r="B2913">
        <v>3249</v>
      </c>
      <c r="C2913">
        <v>2008</v>
      </c>
      <c r="D2913" s="7">
        <v>46198</v>
      </c>
      <c r="E2913" t="s">
        <v>204</v>
      </c>
      <c r="F2913" t="s">
        <v>214</v>
      </c>
      <c r="H2913" s="7"/>
      <c r="I2913" t="s">
        <v>209</v>
      </c>
    </row>
    <row r="2914" spans="1:9">
      <c r="A2914">
        <v>52913</v>
      </c>
      <c r="B2914">
        <v>3249</v>
      </c>
      <c r="C2914">
        <v>2008</v>
      </c>
      <c r="D2914" s="7">
        <v>46203</v>
      </c>
      <c r="E2914" t="s">
        <v>212</v>
      </c>
      <c r="F2914" t="s">
        <v>215</v>
      </c>
      <c r="G2914">
        <v>10</v>
      </c>
      <c r="H2914" s="7">
        <v>46210</v>
      </c>
      <c r="I2914" t="s">
        <v>203</v>
      </c>
    </row>
    <row r="2915" spans="1:9">
      <c r="A2915">
        <v>52914</v>
      </c>
      <c r="B2915">
        <v>3249</v>
      </c>
      <c r="C2915">
        <v>2008</v>
      </c>
      <c r="D2915" s="7">
        <v>46205</v>
      </c>
      <c r="E2915" t="s">
        <v>201</v>
      </c>
      <c r="F2915" t="s">
        <v>214</v>
      </c>
      <c r="H2915" s="7"/>
      <c r="I2915" t="s">
        <v>211</v>
      </c>
    </row>
    <row r="2916" spans="1:9">
      <c r="A2916">
        <v>52915</v>
      </c>
      <c r="B2916">
        <v>3249</v>
      </c>
      <c r="C2916">
        <v>2008</v>
      </c>
      <c r="D2916" s="7">
        <v>46210</v>
      </c>
      <c r="E2916" t="s">
        <v>201</v>
      </c>
      <c r="F2916" t="s">
        <v>214</v>
      </c>
      <c r="H2916" s="7"/>
      <c r="I2916" t="s">
        <v>206</v>
      </c>
    </row>
    <row r="2917" spans="1:9">
      <c r="A2917">
        <v>52916</v>
      </c>
      <c r="B2917">
        <v>3250</v>
      </c>
      <c r="C2917">
        <v>2014</v>
      </c>
      <c r="D2917" s="7">
        <v>46103</v>
      </c>
      <c r="E2917" t="s">
        <v>204</v>
      </c>
      <c r="F2917" t="s">
        <v>202</v>
      </c>
      <c r="G2917">
        <v>30</v>
      </c>
      <c r="H2917" s="7">
        <v>46110</v>
      </c>
      <c r="I2917" t="s">
        <v>217</v>
      </c>
    </row>
    <row r="2918" spans="1:9">
      <c r="A2918">
        <v>52917</v>
      </c>
      <c r="B2918">
        <v>3250</v>
      </c>
      <c r="C2918">
        <v>2014</v>
      </c>
      <c r="D2918" s="7">
        <v>46112</v>
      </c>
      <c r="E2918" t="s">
        <v>204</v>
      </c>
      <c r="F2918" t="s">
        <v>213</v>
      </c>
      <c r="H2918" s="7">
        <v>46133</v>
      </c>
      <c r="I2918" t="s">
        <v>203</v>
      </c>
    </row>
    <row r="2919" spans="1:9">
      <c r="A2919">
        <v>52918</v>
      </c>
      <c r="B2919">
        <v>3250</v>
      </c>
      <c r="C2919">
        <v>2014</v>
      </c>
      <c r="D2919" s="7">
        <v>46115</v>
      </c>
      <c r="E2919" t="s">
        <v>219</v>
      </c>
      <c r="F2919" t="s">
        <v>214</v>
      </c>
      <c r="H2919" s="7">
        <v>46129</v>
      </c>
      <c r="I2919" t="s">
        <v>211</v>
      </c>
    </row>
    <row r="2920" spans="1:9">
      <c r="A2920">
        <v>52919</v>
      </c>
      <c r="B2920">
        <v>3250</v>
      </c>
      <c r="C2920">
        <v>2014</v>
      </c>
      <c r="D2920" s="7">
        <v>46125</v>
      </c>
      <c r="E2920" t="s">
        <v>210</v>
      </c>
      <c r="F2920" t="s">
        <v>213</v>
      </c>
      <c r="H2920" s="7">
        <v>46155</v>
      </c>
      <c r="I2920" t="s">
        <v>207</v>
      </c>
    </row>
    <row r="2921" spans="1:9">
      <c r="A2921">
        <v>52920</v>
      </c>
      <c r="B2921">
        <v>3250</v>
      </c>
      <c r="C2921">
        <v>2014</v>
      </c>
      <c r="D2921" s="7">
        <v>46125</v>
      </c>
      <c r="E2921" t="s">
        <v>201</v>
      </c>
      <c r="F2921" t="s">
        <v>215</v>
      </c>
      <c r="G2921">
        <v>45</v>
      </c>
      <c r="H2921" s="7">
        <v>46155</v>
      </c>
      <c r="I2921" t="s">
        <v>206</v>
      </c>
    </row>
    <row r="2922" spans="1:9">
      <c r="A2922">
        <v>52921</v>
      </c>
      <c r="B2922">
        <v>3250</v>
      </c>
      <c r="C2922">
        <v>2014</v>
      </c>
      <c r="D2922" s="7">
        <v>46128</v>
      </c>
      <c r="E2922" t="s">
        <v>201</v>
      </c>
      <c r="F2922" t="s">
        <v>213</v>
      </c>
      <c r="H2922" s="7">
        <v>46135</v>
      </c>
      <c r="I2922" t="s">
        <v>203</v>
      </c>
    </row>
    <row r="2923" spans="1:9">
      <c r="A2923">
        <v>52922</v>
      </c>
      <c r="B2923">
        <v>3250</v>
      </c>
      <c r="C2923">
        <v>2014</v>
      </c>
      <c r="D2923" s="7">
        <v>46172</v>
      </c>
      <c r="E2923" t="s">
        <v>219</v>
      </c>
      <c r="F2923" t="s">
        <v>202</v>
      </c>
      <c r="G2923">
        <v>45</v>
      </c>
      <c r="H2923" s="7">
        <v>46175</v>
      </c>
      <c r="I2923" t="s">
        <v>216</v>
      </c>
    </row>
    <row r="2924" spans="1:9">
      <c r="A2924">
        <v>52923</v>
      </c>
      <c r="B2924">
        <v>3250</v>
      </c>
      <c r="C2924">
        <v>2014</v>
      </c>
      <c r="D2924" s="7">
        <v>46192</v>
      </c>
      <c r="E2924" t="s">
        <v>204</v>
      </c>
      <c r="F2924" t="s">
        <v>213</v>
      </c>
      <c r="H2924" s="7">
        <v>46213</v>
      </c>
      <c r="I2924" t="s">
        <v>209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82614-ABC3-4B8E-9A10-4A775AC9090D}">
  <dimension ref="A1:U251"/>
  <sheetViews>
    <sheetView workbookViewId="0">
      <selection activeCell="E28" sqref="E28"/>
    </sheetView>
  </sheetViews>
  <sheetFormatPr defaultRowHeight="15"/>
  <cols>
    <col min="1" max="1" width="10.42578125" bestFit="1" customWidth="1"/>
    <col min="2" max="2" width="12.42578125" bestFit="1" customWidth="1"/>
    <col min="3" max="3" width="12" bestFit="1" customWidth="1"/>
    <col min="4" max="4" width="13.85546875" bestFit="1" customWidth="1"/>
    <col min="5" max="5" width="17.42578125" bestFit="1" customWidth="1"/>
    <col min="6" max="6" width="12.5703125" bestFit="1" customWidth="1"/>
    <col min="7" max="7" width="17.42578125" bestFit="1" customWidth="1"/>
    <col min="8" max="8" width="14" bestFit="1" customWidth="1"/>
    <col min="9" max="9" width="15.85546875" bestFit="1" customWidth="1"/>
    <col min="10" max="10" width="10.7109375" bestFit="1" customWidth="1"/>
    <col min="11" max="11" width="29.85546875" bestFit="1" customWidth="1"/>
    <col min="12" max="13" width="24.85546875" bestFit="1" customWidth="1"/>
    <col min="14" max="14" width="15.42578125" bestFit="1" customWidth="1"/>
    <col min="15" max="15" width="19" bestFit="1" customWidth="1"/>
    <col min="16" max="16" width="16.140625" bestFit="1" customWidth="1"/>
    <col min="17" max="17" width="19.85546875" bestFit="1" customWidth="1"/>
    <col min="18" max="18" width="20.28515625" bestFit="1" customWidth="1"/>
    <col min="19" max="19" width="22.85546875" bestFit="1" customWidth="1"/>
    <col min="20" max="20" width="24.140625" bestFit="1" customWidth="1"/>
    <col min="21" max="21" width="20.7109375" bestFit="1" customWidth="1"/>
  </cols>
  <sheetData>
    <row r="1" spans="1:21">
      <c r="A1" t="s">
        <v>55</v>
      </c>
      <c r="B1" t="s">
        <v>56</v>
      </c>
      <c r="C1" t="s">
        <v>57</v>
      </c>
      <c r="D1" t="s">
        <v>58</v>
      </c>
      <c r="E1" t="s">
        <v>59</v>
      </c>
      <c r="F1" t="s">
        <v>15</v>
      </c>
      <c r="G1" t="s">
        <v>60</v>
      </c>
      <c r="H1" t="s">
        <v>61</v>
      </c>
      <c r="I1" t="s">
        <v>62</v>
      </c>
      <c r="J1" t="s">
        <v>63</v>
      </c>
      <c r="K1" t="s">
        <v>64</v>
      </c>
      <c r="L1" t="s">
        <v>221</v>
      </c>
      <c r="M1" t="s">
        <v>222</v>
      </c>
      <c r="N1" t="s">
        <v>220</v>
      </c>
      <c r="O1" t="s">
        <v>223</v>
      </c>
      <c r="P1" t="s">
        <v>17</v>
      </c>
      <c r="Q1" t="s">
        <v>18</v>
      </c>
      <c r="R1" t="s">
        <v>225</v>
      </c>
      <c r="S1" t="s">
        <v>230</v>
      </c>
      <c r="T1" t="s">
        <v>226</v>
      </c>
      <c r="U1" t="s">
        <v>224</v>
      </c>
    </row>
    <row r="2" spans="1:21">
      <c r="A2">
        <v>3001</v>
      </c>
      <c r="B2" t="s">
        <v>65</v>
      </c>
      <c r="C2" t="s">
        <v>66</v>
      </c>
      <c r="D2" s="7">
        <v>26153</v>
      </c>
      <c r="E2" s="7">
        <v>45404</v>
      </c>
      <c r="F2">
        <v>1006</v>
      </c>
      <c r="G2">
        <v>2017</v>
      </c>
      <c r="H2" t="s">
        <v>21</v>
      </c>
      <c r="I2" t="s">
        <v>67</v>
      </c>
      <c r="J2" s="7"/>
      <c r="K2" t="s">
        <v>68</v>
      </c>
      <c r="L2" s="7">
        <v>46161</v>
      </c>
      <c r="M2">
        <v>7</v>
      </c>
      <c r="N2">
        <v>13</v>
      </c>
      <c r="O2">
        <v>53</v>
      </c>
      <c r="P2">
        <v>30</v>
      </c>
      <c r="Q2">
        <v>90</v>
      </c>
      <c r="R2" t="s">
        <v>228</v>
      </c>
      <c r="S2" t="s">
        <v>229</v>
      </c>
      <c r="T2" t="s">
        <v>229</v>
      </c>
      <c r="U2" t="s">
        <v>72</v>
      </c>
    </row>
    <row r="3" spans="1:21">
      <c r="A3">
        <v>3002</v>
      </c>
      <c r="B3" t="s">
        <v>69</v>
      </c>
      <c r="C3" t="s">
        <v>70</v>
      </c>
      <c r="D3" s="7">
        <v>21909</v>
      </c>
      <c r="E3" s="7">
        <v>45566</v>
      </c>
      <c r="F3">
        <v>1006</v>
      </c>
      <c r="G3">
        <v>2017</v>
      </c>
      <c r="H3" t="s">
        <v>21</v>
      </c>
      <c r="I3" t="s">
        <v>67</v>
      </c>
      <c r="J3" s="7"/>
      <c r="K3" t="s">
        <v>68</v>
      </c>
      <c r="L3" s="7">
        <v>45792</v>
      </c>
      <c r="M3">
        <v>3</v>
      </c>
      <c r="N3">
        <v>6</v>
      </c>
      <c r="O3">
        <v>422</v>
      </c>
      <c r="P3">
        <v>30</v>
      </c>
      <c r="Q3">
        <v>90</v>
      </c>
      <c r="R3" t="s">
        <v>228</v>
      </c>
      <c r="S3" t="s">
        <v>229</v>
      </c>
      <c r="T3" t="s">
        <v>228</v>
      </c>
      <c r="U3" t="s">
        <v>227</v>
      </c>
    </row>
    <row r="4" spans="1:21">
      <c r="A4">
        <v>3006</v>
      </c>
      <c r="B4" t="s">
        <v>79</v>
      </c>
      <c r="C4" t="s">
        <v>80</v>
      </c>
      <c r="D4" s="7">
        <v>31242</v>
      </c>
      <c r="E4" s="7">
        <v>45280</v>
      </c>
      <c r="F4">
        <v>1006</v>
      </c>
      <c r="G4">
        <v>2018</v>
      </c>
      <c r="H4" t="s">
        <v>21</v>
      </c>
      <c r="I4" t="s">
        <v>81</v>
      </c>
      <c r="J4" s="7"/>
      <c r="K4" t="s">
        <v>68</v>
      </c>
      <c r="L4" s="7">
        <v>46030</v>
      </c>
      <c r="M4">
        <v>6</v>
      </c>
      <c r="N4">
        <v>16</v>
      </c>
      <c r="O4">
        <v>184</v>
      </c>
      <c r="P4">
        <v>30</v>
      </c>
      <c r="Q4">
        <v>90</v>
      </c>
      <c r="R4" t="s">
        <v>228</v>
      </c>
      <c r="S4" t="s">
        <v>229</v>
      </c>
      <c r="T4" t="s">
        <v>228</v>
      </c>
      <c r="U4" t="s">
        <v>227</v>
      </c>
    </row>
    <row r="5" spans="1:21">
      <c r="A5">
        <v>3007</v>
      </c>
      <c r="B5" t="s">
        <v>82</v>
      </c>
      <c r="C5" t="s">
        <v>80</v>
      </c>
      <c r="D5" s="7">
        <v>20340</v>
      </c>
      <c r="E5" s="7">
        <v>45585</v>
      </c>
      <c r="F5">
        <v>1006</v>
      </c>
      <c r="G5">
        <v>2018</v>
      </c>
      <c r="H5" t="s">
        <v>21</v>
      </c>
      <c r="I5" t="s">
        <v>72</v>
      </c>
      <c r="J5" s="7"/>
      <c r="K5" t="s">
        <v>68</v>
      </c>
      <c r="L5" s="7">
        <v>46072</v>
      </c>
      <c r="M5">
        <v>3</v>
      </c>
      <c r="N5">
        <v>9</v>
      </c>
      <c r="O5">
        <v>142</v>
      </c>
      <c r="P5">
        <v>30</v>
      </c>
      <c r="Q5">
        <v>90</v>
      </c>
      <c r="R5" t="s">
        <v>228</v>
      </c>
      <c r="S5" t="s">
        <v>229</v>
      </c>
      <c r="T5" t="s">
        <v>228</v>
      </c>
      <c r="U5" t="s">
        <v>227</v>
      </c>
    </row>
    <row r="6" spans="1:21">
      <c r="A6">
        <v>3003</v>
      </c>
      <c r="B6" t="s">
        <v>69</v>
      </c>
      <c r="C6" t="s">
        <v>71</v>
      </c>
      <c r="D6" s="7">
        <v>36695</v>
      </c>
      <c r="E6" s="7">
        <v>45978</v>
      </c>
      <c r="F6">
        <v>1005</v>
      </c>
      <c r="G6">
        <v>2013</v>
      </c>
      <c r="H6" t="s">
        <v>21</v>
      </c>
      <c r="I6" t="s">
        <v>72</v>
      </c>
      <c r="J6" s="7"/>
      <c r="K6" t="s">
        <v>68</v>
      </c>
      <c r="L6" s="7">
        <v>46201</v>
      </c>
      <c r="M6">
        <v>6</v>
      </c>
      <c r="N6">
        <v>14</v>
      </c>
      <c r="O6">
        <v>13</v>
      </c>
      <c r="P6">
        <v>21</v>
      </c>
      <c r="Q6">
        <v>75</v>
      </c>
      <c r="R6" t="s">
        <v>229</v>
      </c>
      <c r="S6" t="s">
        <v>229</v>
      </c>
      <c r="T6" t="s">
        <v>229</v>
      </c>
      <c r="U6" t="s">
        <v>67</v>
      </c>
    </row>
    <row r="7" spans="1:21">
      <c r="A7">
        <v>3004</v>
      </c>
      <c r="B7" t="s">
        <v>73</v>
      </c>
      <c r="C7" t="s">
        <v>74</v>
      </c>
      <c r="D7" s="7">
        <v>24070</v>
      </c>
      <c r="E7" s="7">
        <v>45984</v>
      </c>
      <c r="F7">
        <v>1005</v>
      </c>
      <c r="G7">
        <v>2014</v>
      </c>
      <c r="H7" t="s">
        <v>75</v>
      </c>
      <c r="I7" t="s">
        <v>67</v>
      </c>
      <c r="J7" s="7">
        <v>46078</v>
      </c>
      <c r="K7" t="s">
        <v>76</v>
      </c>
      <c r="L7" s="7">
        <v>46075</v>
      </c>
      <c r="M7">
        <v>8</v>
      </c>
      <c r="N7">
        <v>18</v>
      </c>
      <c r="O7">
        <v>139</v>
      </c>
      <c r="P7">
        <v>21</v>
      </c>
      <c r="Q7">
        <v>75</v>
      </c>
      <c r="R7" t="s">
        <v>229</v>
      </c>
      <c r="S7" t="s">
        <v>229</v>
      </c>
      <c r="T7" t="s">
        <v>229</v>
      </c>
      <c r="U7" t="s">
        <v>67</v>
      </c>
    </row>
    <row r="8" spans="1:21">
      <c r="A8">
        <v>3005</v>
      </c>
      <c r="B8" t="s">
        <v>77</v>
      </c>
      <c r="C8" t="s">
        <v>78</v>
      </c>
      <c r="D8" s="7">
        <v>30109</v>
      </c>
      <c r="E8" s="7">
        <v>45660</v>
      </c>
      <c r="F8">
        <v>1003</v>
      </c>
      <c r="G8">
        <v>2007</v>
      </c>
      <c r="H8" t="s">
        <v>21</v>
      </c>
      <c r="I8" t="s">
        <v>67</v>
      </c>
      <c r="J8" s="7"/>
      <c r="K8" t="s">
        <v>68</v>
      </c>
      <c r="L8" s="7">
        <v>46203</v>
      </c>
      <c r="M8">
        <v>12</v>
      </c>
      <c r="N8">
        <v>19</v>
      </c>
      <c r="O8">
        <v>11</v>
      </c>
      <c r="P8">
        <v>30</v>
      </c>
      <c r="Q8">
        <v>90</v>
      </c>
      <c r="R8" t="s">
        <v>229</v>
      </c>
      <c r="S8" t="s">
        <v>229</v>
      </c>
      <c r="T8" t="s">
        <v>229</v>
      </c>
      <c r="U8" t="s">
        <v>67</v>
      </c>
    </row>
    <row r="9" spans="1:21">
      <c r="A9">
        <v>3008</v>
      </c>
      <c r="B9" t="s">
        <v>83</v>
      </c>
      <c r="C9" t="s">
        <v>74</v>
      </c>
      <c r="D9" s="7">
        <v>33696</v>
      </c>
      <c r="E9" s="7">
        <v>45866</v>
      </c>
      <c r="F9">
        <v>1001</v>
      </c>
      <c r="G9">
        <v>2002</v>
      </c>
      <c r="H9" t="s">
        <v>75</v>
      </c>
      <c r="I9" t="s">
        <v>67</v>
      </c>
      <c r="J9" s="7">
        <v>45956</v>
      </c>
      <c r="K9" t="s">
        <v>76</v>
      </c>
      <c r="L9" s="7">
        <v>45945</v>
      </c>
      <c r="M9">
        <v>5</v>
      </c>
      <c r="N9">
        <v>8</v>
      </c>
      <c r="O9">
        <v>269</v>
      </c>
      <c r="P9">
        <v>30</v>
      </c>
      <c r="Q9">
        <v>90</v>
      </c>
      <c r="R9" t="s">
        <v>229</v>
      </c>
      <c r="S9" t="s">
        <v>229</v>
      </c>
      <c r="T9" t="s">
        <v>229</v>
      </c>
      <c r="U9" t="s">
        <v>67</v>
      </c>
    </row>
    <row r="10" spans="1:21">
      <c r="A10">
        <v>3009</v>
      </c>
      <c r="B10" t="s">
        <v>84</v>
      </c>
      <c r="C10" t="s">
        <v>85</v>
      </c>
      <c r="D10" s="7">
        <v>21178</v>
      </c>
      <c r="E10" s="7">
        <v>45469</v>
      </c>
      <c r="F10">
        <v>1006</v>
      </c>
      <c r="G10">
        <v>2018</v>
      </c>
      <c r="H10" t="s">
        <v>86</v>
      </c>
      <c r="I10" t="s">
        <v>72</v>
      </c>
      <c r="J10" s="7"/>
      <c r="K10" t="s">
        <v>68</v>
      </c>
      <c r="L10" s="7">
        <v>46104</v>
      </c>
      <c r="M10">
        <v>2</v>
      </c>
      <c r="N10">
        <v>6</v>
      </c>
      <c r="O10">
        <v>110</v>
      </c>
      <c r="P10">
        <v>30</v>
      </c>
      <c r="Q10">
        <v>90</v>
      </c>
      <c r="R10" t="s">
        <v>228</v>
      </c>
      <c r="S10" t="s">
        <v>229</v>
      </c>
      <c r="T10" t="s">
        <v>228</v>
      </c>
      <c r="U10" t="s">
        <v>227</v>
      </c>
    </row>
    <row r="11" spans="1:21">
      <c r="A11">
        <v>3010</v>
      </c>
      <c r="B11" t="s">
        <v>87</v>
      </c>
      <c r="C11" t="s">
        <v>88</v>
      </c>
      <c r="D11" s="7">
        <v>37089</v>
      </c>
      <c r="E11" s="7">
        <v>45568</v>
      </c>
      <c r="F11">
        <v>1002</v>
      </c>
      <c r="G11">
        <v>2005</v>
      </c>
      <c r="H11" t="s">
        <v>21</v>
      </c>
      <c r="I11" t="s">
        <v>67</v>
      </c>
      <c r="J11" s="7"/>
      <c r="K11" t="s">
        <v>68</v>
      </c>
      <c r="L11" s="7">
        <v>45922</v>
      </c>
      <c r="M11">
        <v>4</v>
      </c>
      <c r="N11">
        <v>9</v>
      </c>
      <c r="O11">
        <v>292</v>
      </c>
      <c r="P11">
        <v>14</v>
      </c>
      <c r="Q11">
        <v>60</v>
      </c>
      <c r="R11" t="s">
        <v>228</v>
      </c>
      <c r="S11" t="s">
        <v>229</v>
      </c>
      <c r="T11" t="s">
        <v>228</v>
      </c>
      <c r="U11" t="s">
        <v>227</v>
      </c>
    </row>
    <row r="12" spans="1:21">
      <c r="A12">
        <v>3011</v>
      </c>
      <c r="B12" t="s">
        <v>89</v>
      </c>
      <c r="C12" t="s">
        <v>90</v>
      </c>
      <c r="D12" s="7">
        <v>31984</v>
      </c>
      <c r="E12" s="7">
        <v>45667</v>
      </c>
      <c r="F12">
        <v>1001</v>
      </c>
      <c r="G12">
        <v>2002</v>
      </c>
      <c r="H12" t="s">
        <v>75</v>
      </c>
      <c r="I12" t="s">
        <v>81</v>
      </c>
      <c r="J12" s="7">
        <v>45741</v>
      </c>
      <c r="K12" t="s">
        <v>91</v>
      </c>
      <c r="L12" s="7">
        <v>45727</v>
      </c>
      <c r="M12">
        <v>12</v>
      </c>
      <c r="N12">
        <v>17</v>
      </c>
      <c r="O12">
        <v>487</v>
      </c>
      <c r="P12">
        <v>30</v>
      </c>
      <c r="Q12">
        <v>90</v>
      </c>
      <c r="R12" t="s">
        <v>229</v>
      </c>
      <c r="S12" t="s">
        <v>229</v>
      </c>
      <c r="T12" t="s">
        <v>229</v>
      </c>
      <c r="U12" t="s">
        <v>67</v>
      </c>
    </row>
    <row r="13" spans="1:21">
      <c r="A13">
        <v>3012</v>
      </c>
      <c r="B13" t="s">
        <v>92</v>
      </c>
      <c r="C13" t="s">
        <v>93</v>
      </c>
      <c r="D13" s="7">
        <v>33874</v>
      </c>
      <c r="E13" s="7">
        <v>45411</v>
      </c>
      <c r="F13">
        <v>1006</v>
      </c>
      <c r="G13">
        <v>2018</v>
      </c>
      <c r="H13" t="s">
        <v>21</v>
      </c>
      <c r="I13" t="s">
        <v>72</v>
      </c>
      <c r="J13" s="7"/>
      <c r="K13" t="s">
        <v>68</v>
      </c>
      <c r="L13" s="7">
        <v>46015</v>
      </c>
      <c r="M13">
        <v>5</v>
      </c>
      <c r="N13">
        <v>11</v>
      </c>
      <c r="O13">
        <v>199</v>
      </c>
      <c r="P13">
        <v>30</v>
      </c>
      <c r="Q13">
        <v>90</v>
      </c>
      <c r="R13" t="s">
        <v>228</v>
      </c>
      <c r="S13" t="s">
        <v>229</v>
      </c>
      <c r="T13" t="s">
        <v>228</v>
      </c>
      <c r="U13" t="s">
        <v>227</v>
      </c>
    </row>
    <row r="14" spans="1:21">
      <c r="A14">
        <v>3013</v>
      </c>
      <c r="B14" t="s">
        <v>94</v>
      </c>
      <c r="C14" t="s">
        <v>95</v>
      </c>
      <c r="D14" s="7">
        <v>37960</v>
      </c>
      <c r="E14" s="7">
        <v>45936</v>
      </c>
      <c r="F14">
        <v>1002</v>
      </c>
      <c r="G14">
        <v>2006</v>
      </c>
      <c r="H14" t="s">
        <v>86</v>
      </c>
      <c r="I14" t="s">
        <v>67</v>
      </c>
      <c r="J14" s="7"/>
      <c r="K14" t="s">
        <v>68</v>
      </c>
      <c r="L14" s="7">
        <v>46011</v>
      </c>
      <c r="M14">
        <v>1</v>
      </c>
      <c r="N14">
        <v>10</v>
      </c>
      <c r="O14">
        <v>203</v>
      </c>
      <c r="P14">
        <v>14</v>
      </c>
      <c r="Q14">
        <v>60</v>
      </c>
      <c r="R14" t="s">
        <v>228</v>
      </c>
      <c r="S14" t="s">
        <v>229</v>
      </c>
      <c r="T14" t="s">
        <v>228</v>
      </c>
      <c r="U14" t="s">
        <v>227</v>
      </c>
    </row>
    <row r="15" spans="1:21">
      <c r="A15">
        <v>3014</v>
      </c>
      <c r="B15" t="s">
        <v>96</v>
      </c>
      <c r="C15" t="s">
        <v>97</v>
      </c>
      <c r="D15" s="7">
        <v>22431</v>
      </c>
      <c r="E15" s="7">
        <v>45432</v>
      </c>
      <c r="F15">
        <v>1002</v>
      </c>
      <c r="G15">
        <v>2006</v>
      </c>
      <c r="H15" t="s">
        <v>21</v>
      </c>
      <c r="I15" t="s">
        <v>67</v>
      </c>
      <c r="J15" s="7"/>
      <c r="K15" t="s">
        <v>68</v>
      </c>
      <c r="L15" s="7">
        <v>46071</v>
      </c>
      <c r="M15">
        <v>11</v>
      </c>
      <c r="N15">
        <v>20</v>
      </c>
      <c r="O15">
        <v>143</v>
      </c>
      <c r="P15">
        <v>14</v>
      </c>
      <c r="Q15">
        <v>60</v>
      </c>
      <c r="R15" t="s">
        <v>228</v>
      </c>
      <c r="S15" t="s">
        <v>229</v>
      </c>
      <c r="T15" t="s">
        <v>228</v>
      </c>
      <c r="U15" t="s">
        <v>227</v>
      </c>
    </row>
    <row r="16" spans="1:21">
      <c r="A16">
        <v>3015</v>
      </c>
      <c r="B16" t="s">
        <v>98</v>
      </c>
      <c r="C16" t="s">
        <v>99</v>
      </c>
      <c r="D16" s="7">
        <v>38365</v>
      </c>
      <c r="E16" s="7">
        <v>46077</v>
      </c>
      <c r="F16">
        <v>1006</v>
      </c>
      <c r="G16">
        <v>2018</v>
      </c>
      <c r="H16" t="s">
        <v>21</v>
      </c>
      <c r="I16" t="s">
        <v>67</v>
      </c>
      <c r="J16" s="7"/>
      <c r="K16" t="s">
        <v>68</v>
      </c>
      <c r="L16" s="7">
        <v>46191</v>
      </c>
      <c r="M16">
        <v>5</v>
      </c>
      <c r="N16">
        <v>9</v>
      </c>
      <c r="O16">
        <v>23</v>
      </c>
      <c r="P16">
        <v>30</v>
      </c>
      <c r="Q16">
        <v>90</v>
      </c>
      <c r="R16" t="s">
        <v>229</v>
      </c>
      <c r="S16" t="s">
        <v>229</v>
      </c>
      <c r="T16" t="s">
        <v>229</v>
      </c>
      <c r="U16" t="s">
        <v>67</v>
      </c>
    </row>
    <row r="17" spans="1:21">
      <c r="A17">
        <v>3016</v>
      </c>
      <c r="B17" t="s">
        <v>82</v>
      </c>
      <c r="C17" t="s">
        <v>100</v>
      </c>
      <c r="D17" s="7">
        <v>36434</v>
      </c>
      <c r="E17" s="7">
        <v>45665</v>
      </c>
      <c r="F17">
        <v>1005</v>
      </c>
      <c r="G17">
        <v>2013</v>
      </c>
      <c r="H17" t="s">
        <v>86</v>
      </c>
      <c r="I17" t="s">
        <v>67</v>
      </c>
      <c r="J17" s="7"/>
      <c r="K17" t="s">
        <v>68</v>
      </c>
      <c r="L17" s="7">
        <v>46134</v>
      </c>
      <c r="M17">
        <v>11</v>
      </c>
      <c r="N17">
        <v>20</v>
      </c>
      <c r="O17">
        <v>80</v>
      </c>
      <c r="P17">
        <v>21</v>
      </c>
      <c r="Q17">
        <v>75</v>
      </c>
      <c r="R17" t="s">
        <v>228</v>
      </c>
      <c r="S17" t="s">
        <v>229</v>
      </c>
      <c r="T17" t="s">
        <v>228</v>
      </c>
      <c r="U17" t="s">
        <v>227</v>
      </c>
    </row>
    <row r="18" spans="1:21">
      <c r="A18">
        <v>3017</v>
      </c>
      <c r="B18" t="s">
        <v>101</v>
      </c>
      <c r="C18" t="s">
        <v>102</v>
      </c>
      <c r="D18" s="7">
        <v>18945</v>
      </c>
      <c r="E18" s="7">
        <v>45658</v>
      </c>
      <c r="F18">
        <v>1003</v>
      </c>
      <c r="G18">
        <v>2007</v>
      </c>
      <c r="H18" t="s">
        <v>21</v>
      </c>
      <c r="I18" t="s">
        <v>67</v>
      </c>
      <c r="J18" s="7"/>
      <c r="K18" t="s">
        <v>68</v>
      </c>
      <c r="L18" s="7">
        <v>46214</v>
      </c>
      <c r="M18">
        <v>5</v>
      </c>
      <c r="N18">
        <v>8</v>
      </c>
      <c r="O18">
        <v>0</v>
      </c>
      <c r="P18">
        <v>30</v>
      </c>
      <c r="Q18">
        <v>90</v>
      </c>
      <c r="R18" t="s">
        <v>229</v>
      </c>
      <c r="S18" t="s">
        <v>229</v>
      </c>
      <c r="T18" t="s">
        <v>229</v>
      </c>
      <c r="U18" t="s">
        <v>67</v>
      </c>
    </row>
    <row r="19" spans="1:21">
      <c r="A19">
        <v>3018</v>
      </c>
      <c r="B19" t="s">
        <v>103</v>
      </c>
      <c r="C19" t="s">
        <v>97</v>
      </c>
      <c r="D19" s="7">
        <v>35474</v>
      </c>
      <c r="E19" s="7">
        <v>45526</v>
      </c>
      <c r="F19">
        <v>1002</v>
      </c>
      <c r="G19">
        <v>2005</v>
      </c>
      <c r="H19" t="s">
        <v>75</v>
      </c>
      <c r="I19" t="s">
        <v>67</v>
      </c>
      <c r="J19" s="7">
        <v>45689</v>
      </c>
      <c r="K19" t="s">
        <v>76</v>
      </c>
      <c r="L19" s="7">
        <v>45684</v>
      </c>
      <c r="M19">
        <v>4</v>
      </c>
      <c r="N19">
        <v>8</v>
      </c>
      <c r="O19">
        <v>530</v>
      </c>
      <c r="P19">
        <v>14</v>
      </c>
      <c r="Q19">
        <v>60</v>
      </c>
      <c r="R19" t="s">
        <v>229</v>
      </c>
      <c r="S19" t="s">
        <v>229</v>
      </c>
      <c r="T19" t="s">
        <v>229</v>
      </c>
      <c r="U19" t="s">
        <v>67</v>
      </c>
    </row>
    <row r="20" spans="1:21">
      <c r="A20">
        <v>3019</v>
      </c>
      <c r="B20" t="s">
        <v>104</v>
      </c>
      <c r="C20" t="s">
        <v>105</v>
      </c>
      <c r="D20" s="7">
        <v>34849</v>
      </c>
      <c r="E20" s="7">
        <v>45158</v>
      </c>
      <c r="F20">
        <v>1005</v>
      </c>
      <c r="G20">
        <v>2015</v>
      </c>
      <c r="H20" t="s">
        <v>106</v>
      </c>
      <c r="I20" t="s">
        <v>72</v>
      </c>
      <c r="J20" s="7">
        <v>45394</v>
      </c>
      <c r="K20" t="s">
        <v>76</v>
      </c>
      <c r="L20" s="7">
        <v>45386</v>
      </c>
      <c r="M20">
        <v>4</v>
      </c>
      <c r="N20">
        <v>8</v>
      </c>
      <c r="O20">
        <v>828</v>
      </c>
      <c r="P20">
        <v>21</v>
      </c>
      <c r="Q20">
        <v>75</v>
      </c>
      <c r="R20" t="s">
        <v>229</v>
      </c>
      <c r="S20" t="s">
        <v>229</v>
      </c>
      <c r="T20" t="s">
        <v>229</v>
      </c>
      <c r="U20" t="s">
        <v>106</v>
      </c>
    </row>
    <row r="21" spans="1:21">
      <c r="A21">
        <v>3020</v>
      </c>
      <c r="B21" t="s">
        <v>107</v>
      </c>
      <c r="C21" t="s">
        <v>108</v>
      </c>
      <c r="D21" s="7">
        <v>21419</v>
      </c>
      <c r="E21" s="7">
        <v>45294</v>
      </c>
      <c r="F21">
        <v>1003</v>
      </c>
      <c r="G21">
        <v>2007</v>
      </c>
      <c r="H21" t="s">
        <v>21</v>
      </c>
      <c r="I21" t="s">
        <v>81</v>
      </c>
      <c r="J21" s="7"/>
      <c r="K21" t="s">
        <v>68</v>
      </c>
      <c r="L21" s="7">
        <v>45702</v>
      </c>
      <c r="M21">
        <v>10</v>
      </c>
      <c r="N21">
        <v>19</v>
      </c>
      <c r="O21">
        <v>512</v>
      </c>
      <c r="P21">
        <v>30</v>
      </c>
      <c r="Q21">
        <v>90</v>
      </c>
      <c r="R21" t="s">
        <v>228</v>
      </c>
      <c r="S21" t="s">
        <v>229</v>
      </c>
      <c r="T21" t="s">
        <v>228</v>
      </c>
      <c r="U21" t="s">
        <v>227</v>
      </c>
    </row>
    <row r="22" spans="1:21">
      <c r="A22">
        <v>3021</v>
      </c>
      <c r="B22" t="s">
        <v>92</v>
      </c>
      <c r="C22" t="s">
        <v>109</v>
      </c>
      <c r="D22" s="7">
        <v>36854</v>
      </c>
      <c r="E22" s="7">
        <v>45457</v>
      </c>
      <c r="F22">
        <v>1001</v>
      </c>
      <c r="G22">
        <v>2002</v>
      </c>
      <c r="H22" t="s">
        <v>21</v>
      </c>
      <c r="I22" t="s">
        <v>72</v>
      </c>
      <c r="J22" s="7"/>
      <c r="K22" t="s">
        <v>68</v>
      </c>
      <c r="L22" s="7">
        <v>46058</v>
      </c>
      <c r="M22">
        <v>9</v>
      </c>
      <c r="N22">
        <v>18</v>
      </c>
      <c r="O22">
        <v>156</v>
      </c>
      <c r="P22">
        <v>30</v>
      </c>
      <c r="Q22">
        <v>90</v>
      </c>
      <c r="R22" t="s">
        <v>228</v>
      </c>
      <c r="S22" t="s">
        <v>229</v>
      </c>
      <c r="T22" t="s">
        <v>228</v>
      </c>
      <c r="U22" t="s">
        <v>227</v>
      </c>
    </row>
    <row r="23" spans="1:21">
      <c r="A23">
        <v>3022</v>
      </c>
      <c r="B23" t="s">
        <v>110</v>
      </c>
      <c r="C23" t="s">
        <v>111</v>
      </c>
      <c r="D23" s="7">
        <v>25430</v>
      </c>
      <c r="E23" s="7">
        <v>45757</v>
      </c>
      <c r="F23">
        <v>1005</v>
      </c>
      <c r="G23">
        <v>2014</v>
      </c>
      <c r="H23" t="s">
        <v>106</v>
      </c>
      <c r="I23" t="s">
        <v>81</v>
      </c>
      <c r="J23" s="7">
        <v>45968</v>
      </c>
      <c r="K23" t="s">
        <v>112</v>
      </c>
      <c r="L23" s="7">
        <v>45952</v>
      </c>
      <c r="M23">
        <v>7</v>
      </c>
      <c r="N23">
        <v>11</v>
      </c>
      <c r="O23">
        <v>262</v>
      </c>
      <c r="P23">
        <v>21</v>
      </c>
      <c r="Q23">
        <v>75</v>
      </c>
      <c r="R23" t="s">
        <v>229</v>
      </c>
      <c r="S23" t="s">
        <v>229</v>
      </c>
      <c r="T23" t="s">
        <v>229</v>
      </c>
      <c r="U23" t="s">
        <v>106</v>
      </c>
    </row>
    <row r="24" spans="1:21">
      <c r="A24">
        <v>3023</v>
      </c>
      <c r="B24" t="s">
        <v>113</v>
      </c>
      <c r="C24" t="s">
        <v>114</v>
      </c>
      <c r="D24" s="7">
        <v>29917</v>
      </c>
      <c r="E24" s="7">
        <v>45162</v>
      </c>
      <c r="F24">
        <v>1004</v>
      </c>
      <c r="G24">
        <v>2012</v>
      </c>
      <c r="H24" t="s">
        <v>21</v>
      </c>
      <c r="I24" t="s">
        <v>67</v>
      </c>
      <c r="J24" s="7"/>
      <c r="K24" t="s">
        <v>68</v>
      </c>
      <c r="L24" s="7">
        <v>46117</v>
      </c>
      <c r="M24">
        <v>5</v>
      </c>
      <c r="N24">
        <v>16</v>
      </c>
      <c r="O24">
        <v>97</v>
      </c>
      <c r="P24">
        <v>14</v>
      </c>
      <c r="Q24">
        <v>45</v>
      </c>
      <c r="R24" t="s">
        <v>228</v>
      </c>
      <c r="S24" t="s">
        <v>229</v>
      </c>
      <c r="T24" t="s">
        <v>228</v>
      </c>
      <c r="U24" t="s">
        <v>227</v>
      </c>
    </row>
    <row r="25" spans="1:21">
      <c r="A25">
        <v>3024</v>
      </c>
      <c r="B25" t="s">
        <v>115</v>
      </c>
      <c r="C25" t="s">
        <v>78</v>
      </c>
      <c r="D25" s="7">
        <v>20768</v>
      </c>
      <c r="E25" s="7">
        <v>45587</v>
      </c>
      <c r="F25">
        <v>1002</v>
      </c>
      <c r="G25">
        <v>2005</v>
      </c>
      <c r="H25" t="s">
        <v>21</v>
      </c>
      <c r="I25" t="s">
        <v>72</v>
      </c>
      <c r="J25" s="7"/>
      <c r="K25" t="s">
        <v>68</v>
      </c>
      <c r="L25" s="7">
        <v>46170</v>
      </c>
      <c r="M25">
        <v>4</v>
      </c>
      <c r="N25">
        <v>7</v>
      </c>
      <c r="O25">
        <v>44</v>
      </c>
      <c r="P25">
        <v>14</v>
      </c>
      <c r="Q25">
        <v>60</v>
      </c>
      <c r="R25" t="s">
        <v>228</v>
      </c>
      <c r="S25" t="s">
        <v>229</v>
      </c>
      <c r="T25" t="s">
        <v>229</v>
      </c>
      <c r="U25" t="s">
        <v>72</v>
      </c>
    </row>
    <row r="26" spans="1:21">
      <c r="A26">
        <v>3025</v>
      </c>
      <c r="B26" t="s">
        <v>84</v>
      </c>
      <c r="C26" t="s">
        <v>93</v>
      </c>
      <c r="D26" s="7">
        <v>34745</v>
      </c>
      <c r="E26" s="7">
        <v>45557</v>
      </c>
      <c r="F26">
        <v>1003</v>
      </c>
      <c r="G26">
        <v>2007</v>
      </c>
      <c r="H26" t="s">
        <v>21</v>
      </c>
      <c r="I26" t="s">
        <v>67</v>
      </c>
      <c r="J26" s="7"/>
      <c r="K26" t="s">
        <v>68</v>
      </c>
      <c r="L26" s="7">
        <v>46181</v>
      </c>
      <c r="M26">
        <v>5</v>
      </c>
      <c r="N26">
        <v>7</v>
      </c>
      <c r="O26">
        <v>33</v>
      </c>
      <c r="P26">
        <v>30</v>
      </c>
      <c r="Q26">
        <v>90</v>
      </c>
      <c r="R26" t="s">
        <v>228</v>
      </c>
      <c r="S26" t="s">
        <v>229</v>
      </c>
      <c r="T26" t="s">
        <v>229</v>
      </c>
      <c r="U26" t="s">
        <v>72</v>
      </c>
    </row>
    <row r="27" spans="1:21">
      <c r="A27">
        <v>3026</v>
      </c>
      <c r="B27" t="s">
        <v>116</v>
      </c>
      <c r="C27" t="s">
        <v>66</v>
      </c>
      <c r="D27" s="7">
        <v>32177</v>
      </c>
      <c r="E27" s="7">
        <v>45508</v>
      </c>
      <c r="F27">
        <v>1006</v>
      </c>
      <c r="G27">
        <v>2018</v>
      </c>
      <c r="H27" t="s">
        <v>21</v>
      </c>
      <c r="I27" t="s">
        <v>72</v>
      </c>
      <c r="J27" s="7"/>
      <c r="K27" t="s">
        <v>68</v>
      </c>
      <c r="L27" s="7">
        <v>46085</v>
      </c>
      <c r="M27">
        <v>7</v>
      </c>
      <c r="N27">
        <v>9</v>
      </c>
      <c r="O27">
        <v>129</v>
      </c>
      <c r="P27">
        <v>30</v>
      </c>
      <c r="Q27">
        <v>90</v>
      </c>
      <c r="R27" t="s">
        <v>228</v>
      </c>
      <c r="S27" t="s">
        <v>229</v>
      </c>
      <c r="T27" t="s">
        <v>228</v>
      </c>
      <c r="U27" t="s">
        <v>227</v>
      </c>
    </row>
    <row r="28" spans="1:21">
      <c r="A28">
        <v>3027</v>
      </c>
      <c r="B28" t="s">
        <v>117</v>
      </c>
      <c r="C28" t="s">
        <v>118</v>
      </c>
      <c r="D28" s="7">
        <v>20614</v>
      </c>
      <c r="E28" s="7">
        <v>45320</v>
      </c>
      <c r="F28">
        <v>1006</v>
      </c>
      <c r="G28">
        <v>2018</v>
      </c>
      <c r="H28" t="s">
        <v>21</v>
      </c>
      <c r="I28" t="s">
        <v>67</v>
      </c>
      <c r="J28" s="7"/>
      <c r="K28" t="s">
        <v>68</v>
      </c>
      <c r="L28" s="7">
        <v>46090</v>
      </c>
      <c r="M28">
        <v>10</v>
      </c>
      <c r="N28">
        <v>19</v>
      </c>
      <c r="O28">
        <v>124</v>
      </c>
      <c r="P28">
        <v>30</v>
      </c>
      <c r="Q28">
        <v>90</v>
      </c>
      <c r="R28" t="s">
        <v>228</v>
      </c>
      <c r="S28" t="s">
        <v>229</v>
      </c>
      <c r="T28" t="s">
        <v>228</v>
      </c>
      <c r="U28" t="s">
        <v>227</v>
      </c>
    </row>
    <row r="29" spans="1:21">
      <c r="A29">
        <v>3028</v>
      </c>
      <c r="B29" t="s">
        <v>119</v>
      </c>
      <c r="C29" t="s">
        <v>120</v>
      </c>
      <c r="D29" s="7">
        <v>25117</v>
      </c>
      <c r="E29" s="7">
        <v>45508</v>
      </c>
      <c r="F29">
        <v>1006</v>
      </c>
      <c r="G29">
        <v>2018</v>
      </c>
      <c r="H29" t="s">
        <v>75</v>
      </c>
      <c r="I29" t="s">
        <v>67</v>
      </c>
      <c r="J29" s="7">
        <v>46064</v>
      </c>
      <c r="K29" t="s">
        <v>121</v>
      </c>
      <c r="L29" s="7">
        <v>45979</v>
      </c>
      <c r="M29">
        <v>8</v>
      </c>
      <c r="N29">
        <v>15</v>
      </c>
      <c r="O29">
        <v>235</v>
      </c>
      <c r="P29">
        <v>30</v>
      </c>
      <c r="Q29">
        <v>90</v>
      </c>
      <c r="R29" t="s">
        <v>229</v>
      </c>
      <c r="S29" t="s">
        <v>229</v>
      </c>
      <c r="T29" t="s">
        <v>229</v>
      </c>
      <c r="U29" t="s">
        <v>67</v>
      </c>
    </row>
    <row r="30" spans="1:21">
      <c r="A30">
        <v>3029</v>
      </c>
      <c r="B30" t="s">
        <v>77</v>
      </c>
      <c r="C30" t="s">
        <v>122</v>
      </c>
      <c r="D30" s="7">
        <v>21309</v>
      </c>
      <c r="E30" s="7">
        <v>46026</v>
      </c>
      <c r="F30">
        <v>1002</v>
      </c>
      <c r="G30">
        <v>2006</v>
      </c>
      <c r="H30" t="s">
        <v>21</v>
      </c>
      <c r="I30" t="s">
        <v>81</v>
      </c>
      <c r="J30" s="7"/>
      <c r="K30" t="s">
        <v>68</v>
      </c>
      <c r="L30" s="7">
        <v>46194</v>
      </c>
      <c r="M30">
        <v>10</v>
      </c>
      <c r="N30">
        <v>18</v>
      </c>
      <c r="O30">
        <v>20</v>
      </c>
      <c r="P30">
        <v>14</v>
      </c>
      <c r="Q30">
        <v>60</v>
      </c>
      <c r="R30" t="s">
        <v>228</v>
      </c>
      <c r="S30" t="s">
        <v>229</v>
      </c>
      <c r="T30" t="s">
        <v>229</v>
      </c>
      <c r="U30" t="s">
        <v>81</v>
      </c>
    </row>
    <row r="31" spans="1:21">
      <c r="A31">
        <v>3030</v>
      </c>
      <c r="B31" t="s">
        <v>123</v>
      </c>
      <c r="C31" t="s">
        <v>102</v>
      </c>
      <c r="D31" s="7">
        <v>19322</v>
      </c>
      <c r="E31" s="7">
        <v>45310</v>
      </c>
      <c r="F31">
        <v>1005</v>
      </c>
      <c r="G31">
        <v>2013</v>
      </c>
      <c r="H31" t="s">
        <v>21</v>
      </c>
      <c r="I31" t="s">
        <v>81</v>
      </c>
      <c r="J31" s="7"/>
      <c r="K31" t="s">
        <v>68</v>
      </c>
      <c r="L31" s="7">
        <v>46204</v>
      </c>
      <c r="M31">
        <v>6</v>
      </c>
      <c r="N31">
        <v>14</v>
      </c>
      <c r="O31">
        <v>10</v>
      </c>
      <c r="P31">
        <v>21</v>
      </c>
      <c r="Q31">
        <v>75</v>
      </c>
      <c r="R31" t="s">
        <v>229</v>
      </c>
      <c r="S31" t="s">
        <v>229</v>
      </c>
      <c r="T31" t="s">
        <v>229</v>
      </c>
      <c r="U31" t="s">
        <v>67</v>
      </c>
    </row>
    <row r="32" spans="1:21">
      <c r="A32">
        <v>3031</v>
      </c>
      <c r="B32" t="s">
        <v>124</v>
      </c>
      <c r="C32" t="s">
        <v>125</v>
      </c>
      <c r="D32" s="7">
        <v>31980</v>
      </c>
      <c r="E32" s="7">
        <v>45239</v>
      </c>
      <c r="F32">
        <v>1002</v>
      </c>
      <c r="G32">
        <v>2005</v>
      </c>
      <c r="H32" t="s">
        <v>21</v>
      </c>
      <c r="I32" t="s">
        <v>72</v>
      </c>
      <c r="J32" s="7"/>
      <c r="K32" t="s">
        <v>68</v>
      </c>
      <c r="L32" s="7">
        <v>46153</v>
      </c>
      <c r="M32">
        <v>7</v>
      </c>
      <c r="N32">
        <v>18</v>
      </c>
      <c r="O32">
        <v>61</v>
      </c>
      <c r="P32">
        <v>14</v>
      </c>
      <c r="Q32">
        <v>60</v>
      </c>
      <c r="R32" t="s">
        <v>228</v>
      </c>
      <c r="S32" t="s">
        <v>229</v>
      </c>
      <c r="T32" t="s">
        <v>228</v>
      </c>
      <c r="U32" t="s">
        <v>227</v>
      </c>
    </row>
    <row r="33" spans="1:21">
      <c r="A33">
        <v>3032</v>
      </c>
      <c r="B33" t="s">
        <v>126</v>
      </c>
      <c r="C33" t="s">
        <v>127</v>
      </c>
      <c r="D33" s="7">
        <v>33748</v>
      </c>
      <c r="E33" s="7">
        <v>45703</v>
      </c>
      <c r="F33">
        <v>1001</v>
      </c>
      <c r="G33">
        <v>2003</v>
      </c>
      <c r="H33" t="s">
        <v>21</v>
      </c>
      <c r="I33" t="s">
        <v>72</v>
      </c>
      <c r="J33" s="7"/>
      <c r="K33" t="s">
        <v>68</v>
      </c>
      <c r="L33" s="7">
        <v>46061</v>
      </c>
      <c r="M33">
        <v>5</v>
      </c>
      <c r="N33">
        <v>11</v>
      </c>
      <c r="O33">
        <v>153</v>
      </c>
      <c r="P33">
        <v>30</v>
      </c>
      <c r="Q33">
        <v>90</v>
      </c>
      <c r="R33" t="s">
        <v>228</v>
      </c>
      <c r="S33" t="s">
        <v>229</v>
      </c>
      <c r="T33" t="s">
        <v>228</v>
      </c>
      <c r="U33" t="s">
        <v>227</v>
      </c>
    </row>
    <row r="34" spans="1:21">
      <c r="A34">
        <v>3033</v>
      </c>
      <c r="B34" t="s">
        <v>65</v>
      </c>
      <c r="C34" t="s">
        <v>88</v>
      </c>
      <c r="D34" s="7">
        <v>20755</v>
      </c>
      <c r="E34" s="7">
        <v>45243</v>
      </c>
      <c r="F34">
        <v>1006</v>
      </c>
      <c r="G34">
        <v>2018</v>
      </c>
      <c r="H34" t="s">
        <v>21</v>
      </c>
      <c r="I34" t="s">
        <v>67</v>
      </c>
      <c r="J34" s="7"/>
      <c r="K34" t="s">
        <v>68</v>
      </c>
      <c r="L34" s="7">
        <v>46177</v>
      </c>
      <c r="M34">
        <v>9</v>
      </c>
      <c r="N34">
        <v>14</v>
      </c>
      <c r="O34">
        <v>37</v>
      </c>
      <c r="P34">
        <v>30</v>
      </c>
      <c r="Q34">
        <v>90</v>
      </c>
      <c r="R34" t="s">
        <v>228</v>
      </c>
      <c r="S34" t="s">
        <v>229</v>
      </c>
      <c r="T34" t="s">
        <v>229</v>
      </c>
      <c r="U34" t="s">
        <v>72</v>
      </c>
    </row>
    <row r="35" spans="1:21">
      <c r="A35">
        <v>3034</v>
      </c>
      <c r="B35" t="s">
        <v>117</v>
      </c>
      <c r="C35" t="s">
        <v>70</v>
      </c>
      <c r="D35" s="7">
        <v>36242</v>
      </c>
      <c r="E35" s="7">
        <v>45441</v>
      </c>
      <c r="F35">
        <v>1001</v>
      </c>
      <c r="G35">
        <v>2002</v>
      </c>
      <c r="H35" t="s">
        <v>21</v>
      </c>
      <c r="I35" t="s">
        <v>72</v>
      </c>
      <c r="J35" s="7"/>
      <c r="K35" t="s">
        <v>68</v>
      </c>
      <c r="L35" s="7">
        <v>46035</v>
      </c>
      <c r="M35">
        <v>6</v>
      </c>
      <c r="N35">
        <v>9</v>
      </c>
      <c r="O35">
        <v>179</v>
      </c>
      <c r="P35">
        <v>30</v>
      </c>
      <c r="Q35">
        <v>90</v>
      </c>
      <c r="R35" t="s">
        <v>228</v>
      </c>
      <c r="S35" t="s">
        <v>229</v>
      </c>
      <c r="T35" t="s">
        <v>228</v>
      </c>
      <c r="U35" t="s">
        <v>227</v>
      </c>
    </row>
    <row r="36" spans="1:21">
      <c r="A36">
        <v>3035</v>
      </c>
      <c r="B36" t="s">
        <v>128</v>
      </c>
      <c r="C36" t="s">
        <v>129</v>
      </c>
      <c r="D36" s="7">
        <v>26546</v>
      </c>
      <c r="E36" s="7">
        <v>45945</v>
      </c>
      <c r="F36">
        <v>1001</v>
      </c>
      <c r="G36">
        <v>2002</v>
      </c>
      <c r="H36" t="s">
        <v>21</v>
      </c>
      <c r="I36" t="s">
        <v>67</v>
      </c>
      <c r="J36" s="7"/>
      <c r="K36" t="s">
        <v>68</v>
      </c>
      <c r="L36" s="7">
        <v>46206</v>
      </c>
      <c r="M36">
        <v>8</v>
      </c>
      <c r="N36">
        <v>13</v>
      </c>
      <c r="O36">
        <v>8</v>
      </c>
      <c r="P36">
        <v>30</v>
      </c>
      <c r="Q36">
        <v>90</v>
      </c>
      <c r="R36" t="s">
        <v>229</v>
      </c>
      <c r="S36" t="s">
        <v>229</v>
      </c>
      <c r="T36" t="s">
        <v>229</v>
      </c>
      <c r="U36" t="s">
        <v>67</v>
      </c>
    </row>
    <row r="37" spans="1:21">
      <c r="A37">
        <v>3036</v>
      </c>
      <c r="B37" t="s">
        <v>130</v>
      </c>
      <c r="C37" t="s">
        <v>131</v>
      </c>
      <c r="D37" s="7">
        <v>21525</v>
      </c>
      <c r="E37" s="7">
        <v>45977</v>
      </c>
      <c r="F37">
        <v>1005</v>
      </c>
      <c r="G37">
        <v>2013</v>
      </c>
      <c r="H37" t="s">
        <v>21</v>
      </c>
      <c r="I37" t="s">
        <v>67</v>
      </c>
      <c r="J37" s="7"/>
      <c r="K37" t="s">
        <v>68</v>
      </c>
      <c r="L37" s="7">
        <v>46201</v>
      </c>
      <c r="M37">
        <v>11</v>
      </c>
      <c r="N37">
        <v>15</v>
      </c>
      <c r="O37">
        <v>13</v>
      </c>
      <c r="P37">
        <v>21</v>
      </c>
      <c r="Q37">
        <v>75</v>
      </c>
      <c r="R37" t="s">
        <v>229</v>
      </c>
      <c r="S37" t="s">
        <v>229</v>
      </c>
      <c r="T37" t="s">
        <v>229</v>
      </c>
      <c r="U37" t="s">
        <v>67</v>
      </c>
    </row>
    <row r="38" spans="1:21">
      <c r="A38">
        <v>3037</v>
      </c>
      <c r="B38" t="s">
        <v>92</v>
      </c>
      <c r="C38" t="s">
        <v>118</v>
      </c>
      <c r="D38" s="7">
        <v>29134</v>
      </c>
      <c r="E38" s="7">
        <v>45607</v>
      </c>
      <c r="F38">
        <v>1005</v>
      </c>
      <c r="G38">
        <v>2015</v>
      </c>
      <c r="H38" t="s">
        <v>21</v>
      </c>
      <c r="I38" t="s">
        <v>67</v>
      </c>
      <c r="J38" s="7"/>
      <c r="K38" t="s">
        <v>68</v>
      </c>
      <c r="L38" s="7">
        <v>45903</v>
      </c>
      <c r="M38">
        <v>2</v>
      </c>
      <c r="N38">
        <v>7</v>
      </c>
      <c r="O38">
        <v>311</v>
      </c>
      <c r="P38">
        <v>21</v>
      </c>
      <c r="Q38">
        <v>75</v>
      </c>
      <c r="R38" t="s">
        <v>228</v>
      </c>
      <c r="S38" t="s">
        <v>229</v>
      </c>
      <c r="T38" t="s">
        <v>228</v>
      </c>
      <c r="U38" t="s">
        <v>227</v>
      </c>
    </row>
    <row r="39" spans="1:21">
      <c r="A39">
        <v>3038</v>
      </c>
      <c r="B39" t="s">
        <v>132</v>
      </c>
      <c r="C39" t="s">
        <v>133</v>
      </c>
      <c r="D39" s="7">
        <v>21216</v>
      </c>
      <c r="E39" s="7">
        <v>45138</v>
      </c>
      <c r="F39">
        <v>1002</v>
      </c>
      <c r="G39">
        <v>2006</v>
      </c>
      <c r="H39" t="s">
        <v>21</v>
      </c>
      <c r="I39" t="s">
        <v>81</v>
      </c>
      <c r="J39" s="7"/>
      <c r="K39" t="s">
        <v>68</v>
      </c>
      <c r="L39" s="7">
        <v>45999</v>
      </c>
      <c r="M39">
        <v>4</v>
      </c>
      <c r="N39">
        <v>10</v>
      </c>
      <c r="O39">
        <v>215</v>
      </c>
      <c r="P39">
        <v>14</v>
      </c>
      <c r="Q39">
        <v>60</v>
      </c>
      <c r="R39" t="s">
        <v>228</v>
      </c>
      <c r="S39" t="s">
        <v>229</v>
      </c>
      <c r="T39" t="s">
        <v>228</v>
      </c>
      <c r="U39" t="s">
        <v>227</v>
      </c>
    </row>
    <row r="40" spans="1:21">
      <c r="A40">
        <v>3039</v>
      </c>
      <c r="B40" t="s">
        <v>123</v>
      </c>
      <c r="C40" t="s">
        <v>134</v>
      </c>
      <c r="D40" s="7">
        <v>27529</v>
      </c>
      <c r="E40" s="7">
        <v>45390</v>
      </c>
      <c r="F40">
        <v>1005</v>
      </c>
      <c r="G40">
        <v>2013</v>
      </c>
      <c r="H40" t="s">
        <v>21</v>
      </c>
      <c r="I40" t="s">
        <v>67</v>
      </c>
      <c r="J40" s="7"/>
      <c r="K40" t="s">
        <v>68</v>
      </c>
      <c r="L40" s="7">
        <v>46166</v>
      </c>
      <c r="M40">
        <v>8</v>
      </c>
      <c r="N40">
        <v>15</v>
      </c>
      <c r="O40">
        <v>48</v>
      </c>
      <c r="P40">
        <v>21</v>
      </c>
      <c r="Q40">
        <v>75</v>
      </c>
      <c r="R40" t="s">
        <v>228</v>
      </c>
      <c r="S40" t="s">
        <v>229</v>
      </c>
      <c r="T40" t="s">
        <v>229</v>
      </c>
      <c r="U40" t="s">
        <v>72</v>
      </c>
    </row>
    <row r="41" spans="1:21">
      <c r="A41">
        <v>3040</v>
      </c>
      <c r="B41" t="s">
        <v>135</v>
      </c>
      <c r="C41" t="s">
        <v>136</v>
      </c>
      <c r="D41" s="7">
        <v>36639</v>
      </c>
      <c r="E41" s="7">
        <v>45738</v>
      </c>
      <c r="F41">
        <v>1001</v>
      </c>
      <c r="G41">
        <v>2002</v>
      </c>
      <c r="H41" t="s">
        <v>21</v>
      </c>
      <c r="I41" t="s">
        <v>67</v>
      </c>
      <c r="J41" s="7"/>
      <c r="K41" t="s">
        <v>68</v>
      </c>
      <c r="L41" s="7">
        <v>46146</v>
      </c>
      <c r="M41">
        <v>1</v>
      </c>
      <c r="N41">
        <v>5</v>
      </c>
      <c r="O41">
        <v>68</v>
      </c>
      <c r="P41">
        <v>30</v>
      </c>
      <c r="Q41">
        <v>90</v>
      </c>
      <c r="R41" t="s">
        <v>228</v>
      </c>
      <c r="S41" t="s">
        <v>228</v>
      </c>
      <c r="T41" t="s">
        <v>229</v>
      </c>
      <c r="U41" t="s">
        <v>81</v>
      </c>
    </row>
    <row r="42" spans="1:21">
      <c r="A42">
        <v>3041</v>
      </c>
      <c r="B42" t="s">
        <v>92</v>
      </c>
      <c r="C42" t="s">
        <v>137</v>
      </c>
      <c r="D42" s="7">
        <v>22233</v>
      </c>
      <c r="E42" s="7">
        <v>45394</v>
      </c>
      <c r="F42">
        <v>1006</v>
      </c>
      <c r="G42">
        <v>2017</v>
      </c>
      <c r="H42" t="s">
        <v>21</v>
      </c>
      <c r="I42" t="s">
        <v>72</v>
      </c>
      <c r="J42" s="7"/>
      <c r="K42" t="s">
        <v>68</v>
      </c>
      <c r="L42" s="7">
        <v>46185</v>
      </c>
      <c r="M42">
        <v>3</v>
      </c>
      <c r="N42">
        <v>11</v>
      </c>
      <c r="O42">
        <v>29</v>
      </c>
      <c r="P42">
        <v>30</v>
      </c>
      <c r="Q42">
        <v>90</v>
      </c>
      <c r="R42" t="s">
        <v>229</v>
      </c>
      <c r="S42" t="s">
        <v>229</v>
      </c>
      <c r="T42" t="s">
        <v>229</v>
      </c>
      <c r="U42" t="s">
        <v>67</v>
      </c>
    </row>
    <row r="43" spans="1:21">
      <c r="A43">
        <v>3042</v>
      </c>
      <c r="B43" t="s">
        <v>87</v>
      </c>
      <c r="C43" t="s">
        <v>138</v>
      </c>
      <c r="D43" s="7">
        <v>30074</v>
      </c>
      <c r="E43" s="7">
        <v>45535</v>
      </c>
      <c r="F43">
        <v>1001</v>
      </c>
      <c r="G43">
        <v>2002</v>
      </c>
      <c r="H43" t="s">
        <v>21</v>
      </c>
      <c r="I43" t="s">
        <v>72</v>
      </c>
      <c r="J43" s="7"/>
      <c r="K43" t="s">
        <v>68</v>
      </c>
      <c r="L43" s="7">
        <v>46165</v>
      </c>
      <c r="M43">
        <v>8</v>
      </c>
      <c r="N43">
        <v>11</v>
      </c>
      <c r="O43">
        <v>49</v>
      </c>
      <c r="P43">
        <v>30</v>
      </c>
      <c r="Q43">
        <v>90</v>
      </c>
      <c r="R43" t="s">
        <v>228</v>
      </c>
      <c r="S43" t="s">
        <v>229</v>
      </c>
      <c r="T43" t="s">
        <v>229</v>
      </c>
      <c r="U43" t="s">
        <v>72</v>
      </c>
    </row>
    <row r="44" spans="1:21">
      <c r="A44">
        <v>3043</v>
      </c>
      <c r="B44" t="s">
        <v>96</v>
      </c>
      <c r="C44" t="s">
        <v>120</v>
      </c>
      <c r="D44" s="7">
        <v>20503</v>
      </c>
      <c r="E44" s="7">
        <v>45308</v>
      </c>
      <c r="F44">
        <v>1003</v>
      </c>
      <c r="G44">
        <v>2009</v>
      </c>
      <c r="H44" t="s">
        <v>21</v>
      </c>
      <c r="I44" t="s">
        <v>81</v>
      </c>
      <c r="J44" s="7"/>
      <c r="K44" t="s">
        <v>68</v>
      </c>
      <c r="L44" s="7">
        <v>46061</v>
      </c>
      <c r="M44">
        <v>5</v>
      </c>
      <c r="N44">
        <v>11</v>
      </c>
      <c r="O44">
        <v>153</v>
      </c>
      <c r="P44">
        <v>30</v>
      </c>
      <c r="Q44">
        <v>90</v>
      </c>
      <c r="R44" t="s">
        <v>228</v>
      </c>
      <c r="S44" t="s">
        <v>229</v>
      </c>
      <c r="T44" t="s">
        <v>228</v>
      </c>
      <c r="U44" t="s">
        <v>227</v>
      </c>
    </row>
    <row r="45" spans="1:21">
      <c r="A45">
        <v>3044</v>
      </c>
      <c r="B45" t="s">
        <v>65</v>
      </c>
      <c r="C45" t="s">
        <v>71</v>
      </c>
      <c r="D45" s="7">
        <v>27422</v>
      </c>
      <c r="E45" s="7">
        <v>45449</v>
      </c>
      <c r="F45">
        <v>1003</v>
      </c>
      <c r="G45">
        <v>2007</v>
      </c>
      <c r="H45" t="s">
        <v>21</v>
      </c>
      <c r="I45" t="s">
        <v>72</v>
      </c>
      <c r="J45" s="7"/>
      <c r="K45" t="s">
        <v>68</v>
      </c>
      <c r="L45" s="7">
        <v>46205</v>
      </c>
      <c r="M45">
        <v>10</v>
      </c>
      <c r="N45">
        <v>19</v>
      </c>
      <c r="O45">
        <v>9</v>
      </c>
      <c r="P45">
        <v>30</v>
      </c>
      <c r="Q45">
        <v>90</v>
      </c>
      <c r="R45" t="s">
        <v>229</v>
      </c>
      <c r="S45" t="s">
        <v>229</v>
      </c>
      <c r="T45" t="s">
        <v>229</v>
      </c>
      <c r="U45" t="s">
        <v>67</v>
      </c>
    </row>
    <row r="46" spans="1:21">
      <c r="A46">
        <v>3045</v>
      </c>
      <c r="B46" t="s">
        <v>84</v>
      </c>
      <c r="C46" t="s">
        <v>78</v>
      </c>
      <c r="D46" s="7">
        <v>21304</v>
      </c>
      <c r="E46" s="7">
        <v>45424</v>
      </c>
      <c r="F46">
        <v>1005</v>
      </c>
      <c r="G46">
        <v>2015</v>
      </c>
      <c r="H46" t="s">
        <v>21</v>
      </c>
      <c r="I46" t="s">
        <v>67</v>
      </c>
      <c r="J46" s="7"/>
      <c r="K46" t="s">
        <v>68</v>
      </c>
      <c r="L46" s="7">
        <v>45866</v>
      </c>
      <c r="M46">
        <v>2</v>
      </c>
      <c r="N46">
        <v>7</v>
      </c>
      <c r="O46">
        <v>348</v>
      </c>
      <c r="P46">
        <v>21</v>
      </c>
      <c r="Q46">
        <v>75</v>
      </c>
      <c r="R46" t="s">
        <v>228</v>
      </c>
      <c r="S46" t="s">
        <v>229</v>
      </c>
      <c r="T46" t="s">
        <v>228</v>
      </c>
      <c r="U46" t="s">
        <v>227</v>
      </c>
    </row>
    <row r="47" spans="1:21">
      <c r="A47">
        <v>3046</v>
      </c>
      <c r="B47" t="s">
        <v>94</v>
      </c>
      <c r="C47" t="s">
        <v>139</v>
      </c>
      <c r="D47" s="7">
        <v>20209</v>
      </c>
      <c r="E47" s="7">
        <v>45750</v>
      </c>
      <c r="F47">
        <v>1003</v>
      </c>
      <c r="G47">
        <v>2009</v>
      </c>
      <c r="H47" t="s">
        <v>21</v>
      </c>
      <c r="I47" t="s">
        <v>67</v>
      </c>
      <c r="J47" s="7"/>
      <c r="K47" t="s">
        <v>68</v>
      </c>
      <c r="L47" s="7">
        <v>46156</v>
      </c>
      <c r="M47">
        <v>5</v>
      </c>
      <c r="N47">
        <v>17</v>
      </c>
      <c r="O47">
        <v>58</v>
      </c>
      <c r="P47">
        <v>30</v>
      </c>
      <c r="Q47">
        <v>90</v>
      </c>
      <c r="R47" t="s">
        <v>228</v>
      </c>
      <c r="S47" t="s">
        <v>229</v>
      </c>
      <c r="T47" t="s">
        <v>229</v>
      </c>
      <c r="U47" t="s">
        <v>72</v>
      </c>
    </row>
    <row r="48" spans="1:21">
      <c r="A48">
        <v>3047</v>
      </c>
      <c r="B48" t="s">
        <v>82</v>
      </c>
      <c r="C48" t="s">
        <v>114</v>
      </c>
      <c r="D48" s="7">
        <v>22207</v>
      </c>
      <c r="E48" s="7">
        <v>45843</v>
      </c>
      <c r="F48">
        <v>1001</v>
      </c>
      <c r="G48">
        <v>2003</v>
      </c>
      <c r="H48" t="s">
        <v>21</v>
      </c>
      <c r="I48" t="s">
        <v>67</v>
      </c>
      <c r="J48" s="7"/>
      <c r="K48" t="s">
        <v>68</v>
      </c>
      <c r="L48" s="7">
        <v>46212</v>
      </c>
      <c r="M48">
        <v>7</v>
      </c>
      <c r="N48">
        <v>11</v>
      </c>
      <c r="O48">
        <v>2</v>
      </c>
      <c r="P48">
        <v>30</v>
      </c>
      <c r="Q48">
        <v>90</v>
      </c>
      <c r="R48" t="s">
        <v>229</v>
      </c>
      <c r="S48" t="s">
        <v>229</v>
      </c>
      <c r="T48" t="s">
        <v>229</v>
      </c>
      <c r="U48" t="s">
        <v>67</v>
      </c>
    </row>
    <row r="49" spans="1:21">
      <c r="A49">
        <v>3048</v>
      </c>
      <c r="B49" t="s">
        <v>140</v>
      </c>
      <c r="C49" t="s">
        <v>141</v>
      </c>
      <c r="D49" s="7">
        <v>24163</v>
      </c>
      <c r="E49" s="7">
        <v>45481</v>
      </c>
      <c r="F49">
        <v>1004</v>
      </c>
      <c r="G49">
        <v>2011</v>
      </c>
      <c r="H49" t="s">
        <v>106</v>
      </c>
      <c r="I49" t="s">
        <v>67</v>
      </c>
      <c r="J49" s="7">
        <v>45910</v>
      </c>
      <c r="K49" t="s">
        <v>142</v>
      </c>
      <c r="L49" s="7">
        <v>45849</v>
      </c>
      <c r="M49">
        <v>11</v>
      </c>
      <c r="N49">
        <v>16</v>
      </c>
      <c r="O49">
        <v>365</v>
      </c>
      <c r="P49">
        <v>14</v>
      </c>
      <c r="Q49">
        <v>45</v>
      </c>
      <c r="R49" t="s">
        <v>229</v>
      </c>
      <c r="S49" t="s">
        <v>229</v>
      </c>
      <c r="T49" t="s">
        <v>229</v>
      </c>
      <c r="U49" t="s">
        <v>106</v>
      </c>
    </row>
    <row r="50" spans="1:21">
      <c r="A50">
        <v>3049</v>
      </c>
      <c r="B50" t="s">
        <v>116</v>
      </c>
      <c r="C50" t="s">
        <v>125</v>
      </c>
      <c r="D50" s="7">
        <v>26970</v>
      </c>
      <c r="E50" s="7">
        <v>45665</v>
      </c>
      <c r="F50">
        <v>1003</v>
      </c>
      <c r="G50">
        <v>2008</v>
      </c>
      <c r="H50" t="s">
        <v>75</v>
      </c>
      <c r="I50" t="s">
        <v>81</v>
      </c>
      <c r="J50" s="7">
        <v>45835</v>
      </c>
      <c r="K50" t="s">
        <v>112</v>
      </c>
      <c r="L50" s="7">
        <v>45801</v>
      </c>
      <c r="M50">
        <v>7</v>
      </c>
      <c r="N50">
        <v>13</v>
      </c>
      <c r="O50">
        <v>413</v>
      </c>
      <c r="P50">
        <v>30</v>
      </c>
      <c r="Q50">
        <v>90</v>
      </c>
      <c r="R50" t="s">
        <v>229</v>
      </c>
      <c r="S50" t="s">
        <v>229</v>
      </c>
      <c r="T50" t="s">
        <v>229</v>
      </c>
      <c r="U50" t="s">
        <v>67</v>
      </c>
    </row>
    <row r="51" spans="1:21">
      <c r="A51">
        <v>3050</v>
      </c>
      <c r="B51" t="s">
        <v>143</v>
      </c>
      <c r="C51" t="s">
        <v>144</v>
      </c>
      <c r="D51" s="7">
        <v>33922</v>
      </c>
      <c r="E51" s="7">
        <v>45835</v>
      </c>
      <c r="F51">
        <v>1001</v>
      </c>
      <c r="G51">
        <v>2003</v>
      </c>
      <c r="H51" t="s">
        <v>21</v>
      </c>
      <c r="I51" t="s">
        <v>81</v>
      </c>
      <c r="J51" s="7"/>
      <c r="K51" t="s">
        <v>68</v>
      </c>
      <c r="L51" s="7">
        <v>46200</v>
      </c>
      <c r="M51">
        <v>2</v>
      </c>
      <c r="N51">
        <v>6</v>
      </c>
      <c r="O51">
        <v>14</v>
      </c>
      <c r="P51">
        <v>30</v>
      </c>
      <c r="Q51">
        <v>90</v>
      </c>
      <c r="R51" t="s">
        <v>229</v>
      </c>
      <c r="S51" t="s">
        <v>229</v>
      </c>
      <c r="T51" t="s">
        <v>229</v>
      </c>
      <c r="U51" t="s">
        <v>67</v>
      </c>
    </row>
    <row r="52" spans="1:21">
      <c r="A52">
        <v>3051</v>
      </c>
      <c r="B52" t="s">
        <v>141</v>
      </c>
      <c r="C52" t="s">
        <v>145</v>
      </c>
      <c r="D52" s="7">
        <v>29595</v>
      </c>
      <c r="E52" s="7">
        <v>45689</v>
      </c>
      <c r="F52">
        <v>1002</v>
      </c>
      <c r="G52">
        <v>2005</v>
      </c>
      <c r="H52" t="s">
        <v>21</v>
      </c>
      <c r="I52" t="s">
        <v>67</v>
      </c>
      <c r="J52" s="7"/>
      <c r="K52" t="s">
        <v>68</v>
      </c>
      <c r="L52" s="7">
        <v>46027</v>
      </c>
      <c r="M52">
        <v>3</v>
      </c>
      <c r="N52">
        <v>13</v>
      </c>
      <c r="O52">
        <v>187</v>
      </c>
      <c r="P52">
        <v>14</v>
      </c>
      <c r="Q52">
        <v>60</v>
      </c>
      <c r="R52" t="s">
        <v>228</v>
      </c>
      <c r="S52" t="s">
        <v>229</v>
      </c>
      <c r="T52" t="s">
        <v>228</v>
      </c>
      <c r="U52" t="s">
        <v>227</v>
      </c>
    </row>
    <row r="53" spans="1:21">
      <c r="A53">
        <v>3052</v>
      </c>
      <c r="B53" t="s">
        <v>146</v>
      </c>
      <c r="C53" t="s">
        <v>137</v>
      </c>
      <c r="D53" s="7">
        <v>36409</v>
      </c>
      <c r="E53" s="7">
        <v>45797</v>
      </c>
      <c r="F53">
        <v>1003</v>
      </c>
      <c r="G53">
        <v>2008</v>
      </c>
      <c r="H53" t="s">
        <v>21</v>
      </c>
      <c r="I53" t="s">
        <v>67</v>
      </c>
      <c r="J53" s="7"/>
      <c r="K53" t="s">
        <v>68</v>
      </c>
      <c r="L53" s="7">
        <v>46121</v>
      </c>
      <c r="M53">
        <v>3</v>
      </c>
      <c r="N53">
        <v>5</v>
      </c>
      <c r="O53">
        <v>93</v>
      </c>
      <c r="P53">
        <v>30</v>
      </c>
      <c r="Q53">
        <v>90</v>
      </c>
      <c r="R53" t="s">
        <v>228</v>
      </c>
      <c r="S53" t="s">
        <v>229</v>
      </c>
      <c r="T53" t="s">
        <v>228</v>
      </c>
      <c r="U53" t="s">
        <v>227</v>
      </c>
    </row>
    <row r="54" spans="1:21">
      <c r="A54">
        <v>3053</v>
      </c>
      <c r="B54" t="s">
        <v>147</v>
      </c>
      <c r="C54" t="s">
        <v>120</v>
      </c>
      <c r="D54" s="7">
        <v>20092</v>
      </c>
      <c r="E54" s="7">
        <v>45341</v>
      </c>
      <c r="F54">
        <v>1003</v>
      </c>
      <c r="G54">
        <v>2007</v>
      </c>
      <c r="H54" t="s">
        <v>21</v>
      </c>
      <c r="I54" t="s">
        <v>81</v>
      </c>
      <c r="J54" s="7"/>
      <c r="K54" t="s">
        <v>68</v>
      </c>
      <c r="L54" s="7">
        <v>45763</v>
      </c>
      <c r="M54">
        <v>3</v>
      </c>
      <c r="N54">
        <v>9</v>
      </c>
      <c r="O54">
        <v>451</v>
      </c>
      <c r="P54">
        <v>30</v>
      </c>
      <c r="Q54">
        <v>90</v>
      </c>
      <c r="R54" t="s">
        <v>228</v>
      </c>
      <c r="S54" t="s">
        <v>229</v>
      </c>
      <c r="T54" t="s">
        <v>228</v>
      </c>
      <c r="U54" t="s">
        <v>227</v>
      </c>
    </row>
    <row r="55" spans="1:21">
      <c r="A55">
        <v>3054</v>
      </c>
      <c r="B55" t="s">
        <v>148</v>
      </c>
      <c r="C55" t="s">
        <v>99</v>
      </c>
      <c r="D55" s="7">
        <v>35597</v>
      </c>
      <c r="E55" s="7">
        <v>45355</v>
      </c>
      <c r="F55">
        <v>1003</v>
      </c>
      <c r="G55">
        <v>2009</v>
      </c>
      <c r="H55" t="s">
        <v>75</v>
      </c>
      <c r="I55" t="s">
        <v>67</v>
      </c>
      <c r="J55" s="7">
        <v>45756</v>
      </c>
      <c r="K55" t="s">
        <v>149</v>
      </c>
      <c r="L55" s="7">
        <v>45738</v>
      </c>
      <c r="M55">
        <v>9</v>
      </c>
      <c r="N55">
        <v>18</v>
      </c>
      <c r="O55">
        <v>476</v>
      </c>
      <c r="P55">
        <v>30</v>
      </c>
      <c r="Q55">
        <v>90</v>
      </c>
      <c r="R55" t="s">
        <v>229</v>
      </c>
      <c r="S55" t="s">
        <v>229</v>
      </c>
      <c r="T55" t="s">
        <v>229</v>
      </c>
      <c r="U55" t="s">
        <v>67</v>
      </c>
    </row>
    <row r="56" spans="1:21">
      <c r="A56">
        <v>3055</v>
      </c>
      <c r="B56" t="s">
        <v>94</v>
      </c>
      <c r="C56" t="s">
        <v>120</v>
      </c>
      <c r="D56" s="7">
        <v>36482</v>
      </c>
      <c r="E56" s="7">
        <v>45522</v>
      </c>
      <c r="F56">
        <v>1001</v>
      </c>
      <c r="G56">
        <v>2003</v>
      </c>
      <c r="H56" t="s">
        <v>21</v>
      </c>
      <c r="I56" t="s">
        <v>81</v>
      </c>
      <c r="J56" s="7"/>
      <c r="K56" t="s">
        <v>68</v>
      </c>
      <c r="L56" s="7">
        <v>46114</v>
      </c>
      <c r="M56">
        <v>4</v>
      </c>
      <c r="N56">
        <v>7</v>
      </c>
      <c r="O56">
        <v>100</v>
      </c>
      <c r="P56">
        <v>30</v>
      </c>
      <c r="Q56">
        <v>90</v>
      </c>
      <c r="R56" t="s">
        <v>228</v>
      </c>
      <c r="S56" t="s">
        <v>229</v>
      </c>
      <c r="T56" t="s">
        <v>228</v>
      </c>
      <c r="U56" t="s">
        <v>227</v>
      </c>
    </row>
    <row r="57" spans="1:21">
      <c r="A57">
        <v>3056</v>
      </c>
      <c r="B57" t="s">
        <v>101</v>
      </c>
      <c r="C57" t="s">
        <v>150</v>
      </c>
      <c r="D57" s="7">
        <v>22922</v>
      </c>
      <c r="E57" s="7">
        <v>45734</v>
      </c>
      <c r="F57">
        <v>1001</v>
      </c>
      <c r="G57">
        <v>2003</v>
      </c>
      <c r="H57" t="s">
        <v>21</v>
      </c>
      <c r="I57" t="s">
        <v>72</v>
      </c>
      <c r="J57" s="7"/>
      <c r="K57" t="s">
        <v>68</v>
      </c>
      <c r="L57" s="7">
        <v>46185</v>
      </c>
      <c r="M57">
        <v>9</v>
      </c>
      <c r="N57">
        <v>18</v>
      </c>
      <c r="O57">
        <v>29</v>
      </c>
      <c r="P57">
        <v>30</v>
      </c>
      <c r="Q57">
        <v>90</v>
      </c>
      <c r="R57" t="s">
        <v>229</v>
      </c>
      <c r="S57" t="s">
        <v>229</v>
      </c>
      <c r="T57" t="s">
        <v>229</v>
      </c>
      <c r="U57" t="s">
        <v>67</v>
      </c>
    </row>
    <row r="58" spans="1:21">
      <c r="A58">
        <v>3057</v>
      </c>
      <c r="B58" t="s">
        <v>148</v>
      </c>
      <c r="C58" t="s">
        <v>151</v>
      </c>
      <c r="D58" s="7">
        <v>37005</v>
      </c>
      <c r="E58" s="7">
        <v>45379</v>
      </c>
      <c r="F58">
        <v>1006</v>
      </c>
      <c r="G58">
        <v>2018</v>
      </c>
      <c r="H58" t="s">
        <v>21</v>
      </c>
      <c r="I58" t="s">
        <v>72</v>
      </c>
      <c r="J58" s="7"/>
      <c r="K58" t="s">
        <v>68</v>
      </c>
      <c r="L58" s="7">
        <v>46173</v>
      </c>
      <c r="M58">
        <v>8</v>
      </c>
      <c r="N58">
        <v>15</v>
      </c>
      <c r="O58">
        <v>41</v>
      </c>
      <c r="P58">
        <v>30</v>
      </c>
      <c r="Q58">
        <v>90</v>
      </c>
      <c r="R58" t="s">
        <v>228</v>
      </c>
      <c r="S58" t="s">
        <v>229</v>
      </c>
      <c r="T58" t="s">
        <v>229</v>
      </c>
      <c r="U58" t="s">
        <v>72</v>
      </c>
    </row>
    <row r="59" spans="1:21">
      <c r="A59">
        <v>3058</v>
      </c>
      <c r="B59" t="s">
        <v>152</v>
      </c>
      <c r="C59" t="s">
        <v>114</v>
      </c>
      <c r="D59" s="7">
        <v>39008</v>
      </c>
      <c r="E59" s="7">
        <v>45735</v>
      </c>
      <c r="F59">
        <v>1006</v>
      </c>
      <c r="G59">
        <v>2018</v>
      </c>
      <c r="H59" t="s">
        <v>21</v>
      </c>
      <c r="I59" t="s">
        <v>81</v>
      </c>
      <c r="J59" s="7"/>
      <c r="K59" t="s">
        <v>68</v>
      </c>
      <c r="L59" s="7">
        <v>46185</v>
      </c>
      <c r="M59">
        <v>8</v>
      </c>
      <c r="N59">
        <v>11</v>
      </c>
      <c r="O59">
        <v>29</v>
      </c>
      <c r="P59">
        <v>30</v>
      </c>
      <c r="Q59">
        <v>90</v>
      </c>
      <c r="R59" t="s">
        <v>229</v>
      </c>
      <c r="S59" t="s">
        <v>229</v>
      </c>
      <c r="T59" t="s">
        <v>229</v>
      </c>
      <c r="U59" t="s">
        <v>67</v>
      </c>
    </row>
    <row r="60" spans="1:21">
      <c r="A60">
        <v>3059</v>
      </c>
      <c r="B60" t="s">
        <v>132</v>
      </c>
      <c r="C60" t="s">
        <v>71</v>
      </c>
      <c r="D60" s="7">
        <v>37843</v>
      </c>
      <c r="E60" s="7">
        <v>45778</v>
      </c>
      <c r="F60">
        <v>1001</v>
      </c>
      <c r="G60">
        <v>2003</v>
      </c>
      <c r="H60" t="s">
        <v>21</v>
      </c>
      <c r="I60" t="s">
        <v>67</v>
      </c>
      <c r="J60" s="7"/>
      <c r="K60" t="s">
        <v>68</v>
      </c>
      <c r="L60" s="7">
        <v>46175</v>
      </c>
      <c r="M60">
        <v>3</v>
      </c>
      <c r="N60">
        <v>7</v>
      </c>
      <c r="O60">
        <v>39</v>
      </c>
      <c r="P60">
        <v>30</v>
      </c>
      <c r="Q60">
        <v>90</v>
      </c>
      <c r="R60" t="s">
        <v>228</v>
      </c>
      <c r="S60" t="s">
        <v>229</v>
      </c>
      <c r="T60" t="s">
        <v>229</v>
      </c>
      <c r="U60" t="s">
        <v>72</v>
      </c>
    </row>
    <row r="61" spans="1:21">
      <c r="A61">
        <v>3060</v>
      </c>
      <c r="B61" t="s">
        <v>153</v>
      </c>
      <c r="C61" t="s">
        <v>70</v>
      </c>
      <c r="D61" s="7">
        <v>24399</v>
      </c>
      <c r="E61" s="7">
        <v>45292</v>
      </c>
      <c r="F61">
        <v>1004</v>
      </c>
      <c r="G61">
        <v>2011</v>
      </c>
      <c r="H61" t="s">
        <v>21</v>
      </c>
      <c r="I61" t="s">
        <v>72</v>
      </c>
      <c r="J61" s="7"/>
      <c r="K61" t="s">
        <v>68</v>
      </c>
      <c r="L61" s="7">
        <v>46179</v>
      </c>
      <c r="M61">
        <v>3</v>
      </c>
      <c r="N61">
        <v>7</v>
      </c>
      <c r="O61">
        <v>35</v>
      </c>
      <c r="P61">
        <v>14</v>
      </c>
      <c r="Q61">
        <v>45</v>
      </c>
      <c r="R61" t="s">
        <v>228</v>
      </c>
      <c r="S61" t="s">
        <v>228</v>
      </c>
      <c r="T61" t="s">
        <v>229</v>
      </c>
      <c r="U61" t="s">
        <v>81</v>
      </c>
    </row>
    <row r="62" spans="1:21">
      <c r="A62">
        <v>3061</v>
      </c>
      <c r="B62" t="s">
        <v>69</v>
      </c>
      <c r="C62" t="s">
        <v>136</v>
      </c>
      <c r="D62" s="7">
        <v>26535</v>
      </c>
      <c r="E62" s="7">
        <v>45754</v>
      </c>
      <c r="F62">
        <v>1006</v>
      </c>
      <c r="G62">
        <v>2018</v>
      </c>
      <c r="H62" t="s">
        <v>21</v>
      </c>
      <c r="I62" t="s">
        <v>81</v>
      </c>
      <c r="J62" s="7"/>
      <c r="K62" t="s">
        <v>68</v>
      </c>
      <c r="L62" s="7">
        <v>46099</v>
      </c>
      <c r="M62">
        <v>3</v>
      </c>
      <c r="N62">
        <v>5</v>
      </c>
      <c r="O62">
        <v>115</v>
      </c>
      <c r="P62">
        <v>30</v>
      </c>
      <c r="Q62">
        <v>90</v>
      </c>
      <c r="R62" t="s">
        <v>228</v>
      </c>
      <c r="S62" t="s">
        <v>229</v>
      </c>
      <c r="T62" t="s">
        <v>228</v>
      </c>
      <c r="U62" t="s">
        <v>227</v>
      </c>
    </row>
    <row r="63" spans="1:21">
      <c r="A63">
        <v>3062</v>
      </c>
      <c r="B63" t="s">
        <v>132</v>
      </c>
      <c r="C63" t="s">
        <v>151</v>
      </c>
      <c r="D63" s="7">
        <v>34408</v>
      </c>
      <c r="E63" s="7">
        <v>45268</v>
      </c>
      <c r="F63">
        <v>1002</v>
      </c>
      <c r="G63">
        <v>2005</v>
      </c>
      <c r="H63" t="s">
        <v>21</v>
      </c>
      <c r="I63" t="s">
        <v>67</v>
      </c>
      <c r="J63" s="7"/>
      <c r="K63" t="s">
        <v>68</v>
      </c>
      <c r="L63" s="7">
        <v>46212</v>
      </c>
      <c r="M63">
        <v>5</v>
      </c>
      <c r="N63">
        <v>6</v>
      </c>
      <c r="O63">
        <v>2</v>
      </c>
      <c r="P63">
        <v>14</v>
      </c>
      <c r="Q63">
        <v>60</v>
      </c>
      <c r="R63" t="s">
        <v>229</v>
      </c>
      <c r="S63" t="s">
        <v>229</v>
      </c>
      <c r="T63" t="s">
        <v>229</v>
      </c>
      <c r="U63" t="s">
        <v>67</v>
      </c>
    </row>
    <row r="64" spans="1:21">
      <c r="A64">
        <v>3063</v>
      </c>
      <c r="B64" t="s">
        <v>73</v>
      </c>
      <c r="C64" t="s">
        <v>100</v>
      </c>
      <c r="D64" s="7">
        <v>31934</v>
      </c>
      <c r="E64" s="7">
        <v>45618</v>
      </c>
      <c r="F64">
        <v>1006</v>
      </c>
      <c r="G64">
        <v>2017</v>
      </c>
      <c r="H64" t="s">
        <v>86</v>
      </c>
      <c r="I64" t="s">
        <v>67</v>
      </c>
      <c r="J64" s="7"/>
      <c r="K64" t="s">
        <v>68</v>
      </c>
      <c r="L64" s="7">
        <v>46049</v>
      </c>
      <c r="M64">
        <v>6</v>
      </c>
      <c r="N64">
        <v>19</v>
      </c>
      <c r="O64">
        <v>165</v>
      </c>
      <c r="P64">
        <v>30</v>
      </c>
      <c r="Q64">
        <v>90</v>
      </c>
      <c r="R64" t="s">
        <v>228</v>
      </c>
      <c r="S64" t="s">
        <v>229</v>
      </c>
      <c r="T64" t="s">
        <v>228</v>
      </c>
      <c r="U64" t="s">
        <v>227</v>
      </c>
    </row>
    <row r="65" spans="1:21">
      <c r="A65">
        <v>3064</v>
      </c>
      <c r="B65" t="s">
        <v>77</v>
      </c>
      <c r="C65" t="s">
        <v>127</v>
      </c>
      <c r="D65" s="7">
        <v>22331</v>
      </c>
      <c r="E65" s="7">
        <v>45989</v>
      </c>
      <c r="F65">
        <v>1006</v>
      </c>
      <c r="G65">
        <v>2017</v>
      </c>
      <c r="H65" t="s">
        <v>106</v>
      </c>
      <c r="I65" t="s">
        <v>81</v>
      </c>
      <c r="J65" s="7">
        <v>46052</v>
      </c>
      <c r="K65" t="s">
        <v>91</v>
      </c>
      <c r="L65" s="7">
        <v>46050</v>
      </c>
      <c r="M65">
        <v>9</v>
      </c>
      <c r="N65">
        <v>13</v>
      </c>
      <c r="O65">
        <v>164</v>
      </c>
      <c r="P65">
        <v>30</v>
      </c>
      <c r="Q65">
        <v>90</v>
      </c>
      <c r="R65" t="s">
        <v>229</v>
      </c>
      <c r="S65" t="s">
        <v>229</v>
      </c>
      <c r="T65" t="s">
        <v>229</v>
      </c>
      <c r="U65" t="s">
        <v>106</v>
      </c>
    </row>
    <row r="66" spans="1:21">
      <c r="A66">
        <v>3065</v>
      </c>
      <c r="B66" t="s">
        <v>119</v>
      </c>
      <c r="C66" t="s">
        <v>136</v>
      </c>
      <c r="D66" s="7">
        <v>22815</v>
      </c>
      <c r="E66" s="7">
        <v>46053</v>
      </c>
      <c r="F66">
        <v>1005</v>
      </c>
      <c r="G66">
        <v>2014</v>
      </c>
      <c r="H66" t="s">
        <v>21</v>
      </c>
      <c r="I66" t="s">
        <v>67</v>
      </c>
      <c r="J66" s="7"/>
      <c r="K66" t="s">
        <v>68</v>
      </c>
      <c r="L66" s="7">
        <v>46214</v>
      </c>
      <c r="M66">
        <v>5</v>
      </c>
      <c r="N66">
        <v>15</v>
      </c>
      <c r="O66">
        <v>0</v>
      </c>
      <c r="P66">
        <v>21</v>
      </c>
      <c r="Q66">
        <v>75</v>
      </c>
      <c r="R66" t="s">
        <v>229</v>
      </c>
      <c r="S66" t="s">
        <v>229</v>
      </c>
      <c r="T66" t="s">
        <v>229</v>
      </c>
      <c r="U66" t="s">
        <v>67</v>
      </c>
    </row>
    <row r="67" spans="1:21">
      <c r="A67">
        <v>3066</v>
      </c>
      <c r="B67" t="s">
        <v>154</v>
      </c>
      <c r="C67" t="s">
        <v>97</v>
      </c>
      <c r="D67" s="7">
        <v>38914</v>
      </c>
      <c r="E67" s="7">
        <v>46152</v>
      </c>
      <c r="F67">
        <v>1004</v>
      </c>
      <c r="G67">
        <v>2012</v>
      </c>
      <c r="H67" t="s">
        <v>106</v>
      </c>
      <c r="I67" t="s">
        <v>81</v>
      </c>
      <c r="J67" s="7">
        <v>46186</v>
      </c>
      <c r="K67" t="s">
        <v>149</v>
      </c>
      <c r="L67" s="7">
        <v>46170</v>
      </c>
      <c r="M67">
        <v>5</v>
      </c>
      <c r="N67">
        <v>20</v>
      </c>
      <c r="O67">
        <v>44</v>
      </c>
      <c r="P67">
        <v>14</v>
      </c>
      <c r="Q67">
        <v>45</v>
      </c>
      <c r="R67" t="s">
        <v>229</v>
      </c>
      <c r="S67" t="s">
        <v>229</v>
      </c>
      <c r="T67" t="s">
        <v>229</v>
      </c>
      <c r="U67" t="s">
        <v>106</v>
      </c>
    </row>
    <row r="68" spans="1:21">
      <c r="A68">
        <v>3067</v>
      </c>
      <c r="B68" t="s">
        <v>155</v>
      </c>
      <c r="C68" t="s">
        <v>138</v>
      </c>
      <c r="D68" s="7">
        <v>27925</v>
      </c>
      <c r="E68" s="7">
        <v>46186</v>
      </c>
      <c r="F68">
        <v>1006</v>
      </c>
      <c r="G68">
        <v>2018</v>
      </c>
      <c r="H68" t="s">
        <v>21</v>
      </c>
      <c r="I68" t="s">
        <v>72</v>
      </c>
      <c r="J68" s="7"/>
      <c r="K68" t="s">
        <v>68</v>
      </c>
      <c r="L68" s="7">
        <v>46213</v>
      </c>
      <c r="M68">
        <v>3</v>
      </c>
      <c r="N68">
        <v>6</v>
      </c>
      <c r="O68">
        <v>1</v>
      </c>
      <c r="P68">
        <v>30</v>
      </c>
      <c r="Q68">
        <v>90</v>
      </c>
      <c r="R68" t="s">
        <v>229</v>
      </c>
      <c r="S68" t="s">
        <v>229</v>
      </c>
      <c r="T68" t="s">
        <v>229</v>
      </c>
      <c r="U68" t="s">
        <v>67</v>
      </c>
    </row>
    <row r="69" spans="1:21">
      <c r="A69">
        <v>3068</v>
      </c>
      <c r="B69" t="s">
        <v>156</v>
      </c>
      <c r="C69" t="s">
        <v>88</v>
      </c>
      <c r="D69" s="7">
        <v>26522</v>
      </c>
      <c r="E69" s="7">
        <v>45675</v>
      </c>
      <c r="F69">
        <v>1002</v>
      </c>
      <c r="G69">
        <v>2006</v>
      </c>
      <c r="H69" t="s">
        <v>21</v>
      </c>
      <c r="I69" t="s">
        <v>72</v>
      </c>
      <c r="J69" s="7"/>
      <c r="K69" t="s">
        <v>68</v>
      </c>
      <c r="L69" s="7">
        <v>46149</v>
      </c>
      <c r="M69">
        <v>3</v>
      </c>
      <c r="N69">
        <v>12</v>
      </c>
      <c r="O69">
        <v>65</v>
      </c>
      <c r="P69">
        <v>14</v>
      </c>
      <c r="Q69">
        <v>60</v>
      </c>
      <c r="R69" t="s">
        <v>228</v>
      </c>
      <c r="S69" t="s">
        <v>229</v>
      </c>
      <c r="T69" t="s">
        <v>228</v>
      </c>
      <c r="U69" t="s">
        <v>227</v>
      </c>
    </row>
    <row r="70" spans="1:21">
      <c r="A70">
        <v>3069</v>
      </c>
      <c r="B70" t="s">
        <v>115</v>
      </c>
      <c r="C70" t="s">
        <v>151</v>
      </c>
      <c r="D70" s="7">
        <v>23846</v>
      </c>
      <c r="E70" s="7">
        <v>45557</v>
      </c>
      <c r="F70">
        <v>1005</v>
      </c>
      <c r="G70">
        <v>2013</v>
      </c>
      <c r="H70" t="s">
        <v>21</v>
      </c>
      <c r="I70" t="s">
        <v>67</v>
      </c>
      <c r="J70" s="7"/>
      <c r="K70" t="s">
        <v>68</v>
      </c>
      <c r="L70" s="7">
        <v>46214</v>
      </c>
      <c r="M70">
        <v>2</v>
      </c>
      <c r="N70">
        <v>8</v>
      </c>
      <c r="O70">
        <v>0</v>
      </c>
      <c r="P70">
        <v>21</v>
      </c>
      <c r="Q70">
        <v>75</v>
      </c>
      <c r="R70" t="s">
        <v>229</v>
      </c>
      <c r="S70" t="s">
        <v>229</v>
      </c>
      <c r="T70" t="s">
        <v>229</v>
      </c>
      <c r="U70" t="s">
        <v>67</v>
      </c>
    </row>
    <row r="71" spans="1:21">
      <c r="A71">
        <v>3070</v>
      </c>
      <c r="B71" t="s">
        <v>157</v>
      </c>
      <c r="C71" t="s">
        <v>158</v>
      </c>
      <c r="D71" s="7">
        <v>25616</v>
      </c>
      <c r="E71" s="7">
        <v>45979</v>
      </c>
      <c r="F71">
        <v>1004</v>
      </c>
      <c r="G71">
        <v>2012</v>
      </c>
      <c r="H71" t="s">
        <v>21</v>
      </c>
      <c r="I71" t="s">
        <v>67</v>
      </c>
      <c r="J71" s="7"/>
      <c r="K71" t="s">
        <v>68</v>
      </c>
      <c r="L71" s="7">
        <v>46213</v>
      </c>
      <c r="M71">
        <v>7</v>
      </c>
      <c r="N71">
        <v>20</v>
      </c>
      <c r="O71">
        <v>1</v>
      </c>
      <c r="P71">
        <v>14</v>
      </c>
      <c r="Q71">
        <v>45</v>
      </c>
      <c r="R71" t="s">
        <v>229</v>
      </c>
      <c r="S71" t="s">
        <v>229</v>
      </c>
      <c r="T71" t="s">
        <v>229</v>
      </c>
      <c r="U71" t="s">
        <v>67</v>
      </c>
    </row>
    <row r="72" spans="1:21">
      <c r="A72">
        <v>3071</v>
      </c>
      <c r="B72" t="s">
        <v>159</v>
      </c>
      <c r="C72" t="s">
        <v>160</v>
      </c>
      <c r="D72" s="7">
        <v>37703</v>
      </c>
      <c r="E72" s="7">
        <v>45898</v>
      </c>
      <c r="F72">
        <v>1005</v>
      </c>
      <c r="G72">
        <v>2015</v>
      </c>
      <c r="H72" t="s">
        <v>21</v>
      </c>
      <c r="I72" t="s">
        <v>81</v>
      </c>
      <c r="J72" s="7"/>
      <c r="K72" t="s">
        <v>68</v>
      </c>
      <c r="L72" s="7">
        <v>46188</v>
      </c>
      <c r="M72">
        <v>8</v>
      </c>
      <c r="N72">
        <v>16</v>
      </c>
      <c r="O72">
        <v>26</v>
      </c>
      <c r="P72">
        <v>21</v>
      </c>
      <c r="Q72">
        <v>75</v>
      </c>
      <c r="R72" t="s">
        <v>228</v>
      </c>
      <c r="S72" t="s">
        <v>229</v>
      </c>
      <c r="T72" t="s">
        <v>229</v>
      </c>
      <c r="U72" t="s">
        <v>81</v>
      </c>
    </row>
    <row r="73" spans="1:21">
      <c r="A73">
        <v>3072</v>
      </c>
      <c r="B73" t="s">
        <v>155</v>
      </c>
      <c r="C73" t="s">
        <v>95</v>
      </c>
      <c r="D73" s="7">
        <v>32569</v>
      </c>
      <c r="E73" s="7">
        <v>45570</v>
      </c>
      <c r="F73">
        <v>1003</v>
      </c>
      <c r="G73">
        <v>2008</v>
      </c>
      <c r="H73" t="s">
        <v>86</v>
      </c>
      <c r="I73" t="s">
        <v>81</v>
      </c>
      <c r="J73" s="7"/>
      <c r="K73" t="s">
        <v>68</v>
      </c>
      <c r="L73" s="7">
        <v>46121</v>
      </c>
      <c r="M73">
        <v>10</v>
      </c>
      <c r="N73">
        <v>15</v>
      </c>
      <c r="O73">
        <v>93</v>
      </c>
      <c r="P73">
        <v>30</v>
      </c>
      <c r="Q73">
        <v>90</v>
      </c>
      <c r="R73" t="s">
        <v>228</v>
      </c>
      <c r="S73" t="s">
        <v>229</v>
      </c>
      <c r="T73" t="s">
        <v>228</v>
      </c>
      <c r="U73" t="s">
        <v>227</v>
      </c>
    </row>
    <row r="74" spans="1:21">
      <c r="A74">
        <v>3073</v>
      </c>
      <c r="B74" t="s">
        <v>161</v>
      </c>
      <c r="C74" t="s">
        <v>162</v>
      </c>
      <c r="D74" s="7">
        <v>32087</v>
      </c>
      <c r="E74" s="7">
        <v>45457</v>
      </c>
      <c r="F74">
        <v>1003</v>
      </c>
      <c r="G74">
        <v>2008</v>
      </c>
      <c r="H74" t="s">
        <v>21</v>
      </c>
      <c r="I74" t="s">
        <v>67</v>
      </c>
      <c r="J74" s="7"/>
      <c r="K74" t="s">
        <v>68</v>
      </c>
      <c r="L74" s="7">
        <v>46135</v>
      </c>
      <c r="M74">
        <v>6</v>
      </c>
      <c r="N74">
        <v>15</v>
      </c>
      <c r="O74">
        <v>79</v>
      </c>
      <c r="P74">
        <v>30</v>
      </c>
      <c r="Q74">
        <v>90</v>
      </c>
      <c r="R74" t="s">
        <v>228</v>
      </c>
      <c r="S74" t="s">
        <v>228</v>
      </c>
      <c r="T74" t="s">
        <v>229</v>
      </c>
      <c r="U74" t="s">
        <v>81</v>
      </c>
    </row>
    <row r="75" spans="1:21">
      <c r="A75">
        <v>3074</v>
      </c>
      <c r="B75" t="s">
        <v>119</v>
      </c>
      <c r="C75" t="s">
        <v>122</v>
      </c>
      <c r="D75" s="7">
        <v>19727</v>
      </c>
      <c r="E75" s="7">
        <v>45290</v>
      </c>
      <c r="F75">
        <v>1002</v>
      </c>
      <c r="G75">
        <v>2005</v>
      </c>
      <c r="H75" t="s">
        <v>106</v>
      </c>
      <c r="I75" t="s">
        <v>72</v>
      </c>
      <c r="J75" s="7">
        <v>45955</v>
      </c>
      <c r="K75" t="s">
        <v>121</v>
      </c>
      <c r="L75" s="7">
        <v>45912</v>
      </c>
      <c r="M75">
        <v>6</v>
      </c>
      <c r="N75">
        <v>11</v>
      </c>
      <c r="O75">
        <v>302</v>
      </c>
      <c r="P75">
        <v>14</v>
      </c>
      <c r="Q75">
        <v>60</v>
      </c>
      <c r="R75" t="s">
        <v>229</v>
      </c>
      <c r="S75" t="s">
        <v>229</v>
      </c>
      <c r="T75" t="s">
        <v>229</v>
      </c>
      <c r="U75" t="s">
        <v>106</v>
      </c>
    </row>
    <row r="76" spans="1:21">
      <c r="A76">
        <v>3075</v>
      </c>
      <c r="B76" t="s">
        <v>163</v>
      </c>
      <c r="C76" t="s">
        <v>164</v>
      </c>
      <c r="D76" s="7">
        <v>25774</v>
      </c>
      <c r="E76" s="7">
        <v>46050</v>
      </c>
      <c r="F76">
        <v>1004</v>
      </c>
      <c r="G76">
        <v>2011</v>
      </c>
      <c r="H76" t="s">
        <v>21</v>
      </c>
      <c r="I76" t="s">
        <v>67</v>
      </c>
      <c r="J76" s="7"/>
      <c r="K76" t="s">
        <v>68</v>
      </c>
      <c r="L76" s="7">
        <v>46211</v>
      </c>
      <c r="M76">
        <v>7</v>
      </c>
      <c r="N76">
        <v>18</v>
      </c>
      <c r="O76">
        <v>3</v>
      </c>
      <c r="P76">
        <v>14</v>
      </c>
      <c r="Q76">
        <v>45</v>
      </c>
      <c r="R76" t="s">
        <v>229</v>
      </c>
      <c r="S76" t="s">
        <v>229</v>
      </c>
      <c r="T76" t="s">
        <v>229</v>
      </c>
      <c r="U76" t="s">
        <v>67</v>
      </c>
    </row>
    <row r="77" spans="1:21">
      <c r="A77">
        <v>3076</v>
      </c>
      <c r="B77" t="s">
        <v>159</v>
      </c>
      <c r="C77" t="s">
        <v>165</v>
      </c>
      <c r="D77" s="7">
        <v>27105</v>
      </c>
      <c r="E77" s="7">
        <v>45286</v>
      </c>
      <c r="F77">
        <v>1004</v>
      </c>
      <c r="G77">
        <v>2012</v>
      </c>
      <c r="H77" t="s">
        <v>86</v>
      </c>
      <c r="I77" t="s">
        <v>81</v>
      </c>
      <c r="J77" s="7"/>
      <c r="K77" t="s">
        <v>68</v>
      </c>
      <c r="L77" s="7">
        <v>45991</v>
      </c>
      <c r="M77">
        <v>4</v>
      </c>
      <c r="N77">
        <v>13</v>
      </c>
      <c r="O77">
        <v>223</v>
      </c>
      <c r="P77">
        <v>14</v>
      </c>
      <c r="Q77">
        <v>45</v>
      </c>
      <c r="R77" t="s">
        <v>228</v>
      </c>
      <c r="S77" t="s">
        <v>229</v>
      </c>
      <c r="T77" t="s">
        <v>228</v>
      </c>
      <c r="U77" t="s">
        <v>227</v>
      </c>
    </row>
    <row r="78" spans="1:21">
      <c r="A78">
        <v>3077</v>
      </c>
      <c r="B78" t="s">
        <v>166</v>
      </c>
      <c r="C78" t="s">
        <v>167</v>
      </c>
      <c r="D78" s="7">
        <v>21087</v>
      </c>
      <c r="E78" s="7">
        <v>45201</v>
      </c>
      <c r="F78">
        <v>1006</v>
      </c>
      <c r="G78">
        <v>2017</v>
      </c>
      <c r="H78" t="s">
        <v>106</v>
      </c>
      <c r="I78" t="s">
        <v>67</v>
      </c>
      <c r="J78" s="7">
        <v>45980</v>
      </c>
      <c r="K78" t="s">
        <v>142</v>
      </c>
      <c r="L78" s="7">
        <v>45681</v>
      </c>
      <c r="M78">
        <v>4</v>
      </c>
      <c r="N78">
        <v>5</v>
      </c>
      <c r="O78">
        <v>533</v>
      </c>
      <c r="P78">
        <v>30</v>
      </c>
      <c r="Q78">
        <v>90</v>
      </c>
      <c r="R78" t="s">
        <v>229</v>
      </c>
      <c r="S78" t="s">
        <v>229</v>
      </c>
      <c r="T78" t="s">
        <v>229</v>
      </c>
      <c r="U78" t="s">
        <v>106</v>
      </c>
    </row>
    <row r="79" spans="1:21">
      <c r="A79">
        <v>3078</v>
      </c>
      <c r="B79" t="s">
        <v>132</v>
      </c>
      <c r="C79" t="s">
        <v>127</v>
      </c>
      <c r="D79" s="7">
        <v>22587</v>
      </c>
      <c r="E79" s="7">
        <v>45565</v>
      </c>
      <c r="F79">
        <v>1001</v>
      </c>
      <c r="G79">
        <v>2002</v>
      </c>
      <c r="H79" t="s">
        <v>21</v>
      </c>
      <c r="I79" t="s">
        <v>72</v>
      </c>
      <c r="J79" s="7"/>
      <c r="K79" t="s">
        <v>68</v>
      </c>
      <c r="L79" s="7">
        <v>46196</v>
      </c>
      <c r="M79">
        <v>6</v>
      </c>
      <c r="N79">
        <v>11</v>
      </c>
      <c r="O79">
        <v>18</v>
      </c>
      <c r="P79">
        <v>30</v>
      </c>
      <c r="Q79">
        <v>90</v>
      </c>
      <c r="R79" t="s">
        <v>229</v>
      </c>
      <c r="S79" t="s">
        <v>229</v>
      </c>
      <c r="T79" t="s">
        <v>229</v>
      </c>
      <c r="U79" t="s">
        <v>67</v>
      </c>
    </row>
    <row r="80" spans="1:21">
      <c r="A80">
        <v>3079</v>
      </c>
      <c r="B80" t="s">
        <v>143</v>
      </c>
      <c r="C80" t="s">
        <v>66</v>
      </c>
      <c r="D80" s="7">
        <v>22592</v>
      </c>
      <c r="E80" s="7">
        <v>45454</v>
      </c>
      <c r="F80">
        <v>1003</v>
      </c>
      <c r="G80">
        <v>2008</v>
      </c>
      <c r="H80" t="s">
        <v>21</v>
      </c>
      <c r="I80" t="s">
        <v>72</v>
      </c>
      <c r="J80" s="7"/>
      <c r="K80" t="s">
        <v>68</v>
      </c>
      <c r="L80" s="7">
        <v>46198</v>
      </c>
      <c r="M80">
        <v>3</v>
      </c>
      <c r="N80">
        <v>4</v>
      </c>
      <c r="O80">
        <v>16</v>
      </c>
      <c r="P80">
        <v>30</v>
      </c>
      <c r="Q80">
        <v>90</v>
      </c>
      <c r="R80" t="s">
        <v>229</v>
      </c>
      <c r="S80" t="s">
        <v>229</v>
      </c>
      <c r="T80" t="s">
        <v>229</v>
      </c>
      <c r="U80" t="s">
        <v>67</v>
      </c>
    </row>
    <row r="81" spans="1:21">
      <c r="A81">
        <v>3080</v>
      </c>
      <c r="B81" t="s">
        <v>113</v>
      </c>
      <c r="C81" t="s">
        <v>127</v>
      </c>
      <c r="D81" s="7">
        <v>31137</v>
      </c>
      <c r="E81" s="7">
        <v>45931</v>
      </c>
      <c r="F81">
        <v>1005</v>
      </c>
      <c r="G81">
        <v>2013</v>
      </c>
      <c r="H81" t="s">
        <v>106</v>
      </c>
      <c r="I81" t="s">
        <v>72</v>
      </c>
      <c r="J81" s="7">
        <v>46039</v>
      </c>
      <c r="K81" t="s">
        <v>142</v>
      </c>
      <c r="L81" s="7">
        <v>45983</v>
      </c>
      <c r="M81">
        <v>4</v>
      </c>
      <c r="N81">
        <v>11</v>
      </c>
      <c r="O81">
        <v>231</v>
      </c>
      <c r="P81">
        <v>21</v>
      </c>
      <c r="Q81">
        <v>75</v>
      </c>
      <c r="R81" t="s">
        <v>229</v>
      </c>
      <c r="S81" t="s">
        <v>229</v>
      </c>
      <c r="T81" t="s">
        <v>229</v>
      </c>
      <c r="U81" t="s">
        <v>106</v>
      </c>
    </row>
    <row r="82" spans="1:21">
      <c r="A82">
        <v>3081</v>
      </c>
      <c r="B82" t="s">
        <v>168</v>
      </c>
      <c r="C82" t="s">
        <v>90</v>
      </c>
      <c r="D82" s="7">
        <v>38513</v>
      </c>
      <c r="E82" s="7">
        <v>45366</v>
      </c>
      <c r="F82">
        <v>1006</v>
      </c>
      <c r="G82">
        <v>2017</v>
      </c>
      <c r="H82" t="s">
        <v>21</v>
      </c>
      <c r="I82" t="s">
        <v>72</v>
      </c>
      <c r="J82" s="7"/>
      <c r="K82" t="s">
        <v>68</v>
      </c>
      <c r="L82" s="7">
        <v>46181</v>
      </c>
      <c r="M82">
        <v>5</v>
      </c>
      <c r="N82">
        <v>10</v>
      </c>
      <c r="O82">
        <v>33</v>
      </c>
      <c r="P82">
        <v>30</v>
      </c>
      <c r="Q82">
        <v>90</v>
      </c>
      <c r="R82" t="s">
        <v>228</v>
      </c>
      <c r="S82" t="s">
        <v>229</v>
      </c>
      <c r="T82" t="s">
        <v>229</v>
      </c>
      <c r="U82" t="s">
        <v>72</v>
      </c>
    </row>
    <row r="83" spans="1:21">
      <c r="A83">
        <v>3082</v>
      </c>
      <c r="B83" t="s">
        <v>110</v>
      </c>
      <c r="C83" t="s">
        <v>164</v>
      </c>
      <c r="D83" s="7">
        <v>21098</v>
      </c>
      <c r="E83" s="7">
        <v>46155</v>
      </c>
      <c r="F83">
        <v>1001</v>
      </c>
      <c r="G83">
        <v>2003</v>
      </c>
      <c r="H83" t="s">
        <v>21</v>
      </c>
      <c r="I83" t="s">
        <v>72</v>
      </c>
      <c r="J83" s="7"/>
      <c r="K83" t="s">
        <v>68</v>
      </c>
      <c r="L83" s="7">
        <v>46214</v>
      </c>
      <c r="M83">
        <v>9</v>
      </c>
      <c r="N83">
        <v>19</v>
      </c>
      <c r="O83">
        <v>0</v>
      </c>
      <c r="P83">
        <v>30</v>
      </c>
      <c r="Q83">
        <v>90</v>
      </c>
      <c r="R83" t="s">
        <v>229</v>
      </c>
      <c r="S83" t="s">
        <v>229</v>
      </c>
      <c r="T83" t="s">
        <v>229</v>
      </c>
      <c r="U83" t="s">
        <v>67</v>
      </c>
    </row>
    <row r="84" spans="1:21">
      <c r="A84">
        <v>3083</v>
      </c>
      <c r="B84" t="s">
        <v>140</v>
      </c>
      <c r="C84" t="s">
        <v>85</v>
      </c>
      <c r="D84" s="7">
        <v>30707</v>
      </c>
      <c r="E84" s="7">
        <v>46060</v>
      </c>
      <c r="F84">
        <v>1001</v>
      </c>
      <c r="G84">
        <v>2003</v>
      </c>
      <c r="H84" t="s">
        <v>75</v>
      </c>
      <c r="I84" t="s">
        <v>67</v>
      </c>
      <c r="J84" s="7">
        <v>46106</v>
      </c>
      <c r="K84" t="s">
        <v>121</v>
      </c>
      <c r="L84" s="7">
        <v>46106</v>
      </c>
      <c r="M84">
        <v>11</v>
      </c>
      <c r="N84">
        <v>14</v>
      </c>
      <c r="O84">
        <v>108</v>
      </c>
      <c r="P84">
        <v>30</v>
      </c>
      <c r="Q84">
        <v>90</v>
      </c>
      <c r="R84" t="s">
        <v>229</v>
      </c>
      <c r="S84" t="s">
        <v>229</v>
      </c>
      <c r="T84" t="s">
        <v>229</v>
      </c>
      <c r="U84" t="s">
        <v>67</v>
      </c>
    </row>
    <row r="85" spans="1:21">
      <c r="A85">
        <v>3084</v>
      </c>
      <c r="B85" t="s">
        <v>132</v>
      </c>
      <c r="C85" t="s">
        <v>120</v>
      </c>
      <c r="D85" s="7">
        <v>36473</v>
      </c>
      <c r="E85" s="7">
        <v>46109</v>
      </c>
      <c r="F85">
        <v>1005</v>
      </c>
      <c r="G85">
        <v>2015</v>
      </c>
      <c r="H85" t="s">
        <v>21</v>
      </c>
      <c r="I85" t="s">
        <v>81</v>
      </c>
      <c r="J85" s="7"/>
      <c r="K85" t="s">
        <v>68</v>
      </c>
      <c r="L85" s="7">
        <v>46188</v>
      </c>
      <c r="M85">
        <v>7</v>
      </c>
      <c r="N85">
        <v>10</v>
      </c>
      <c r="O85">
        <v>26</v>
      </c>
      <c r="P85">
        <v>21</v>
      </c>
      <c r="Q85">
        <v>75</v>
      </c>
      <c r="R85" t="s">
        <v>228</v>
      </c>
      <c r="S85" t="s">
        <v>229</v>
      </c>
      <c r="T85" t="s">
        <v>229</v>
      </c>
      <c r="U85" t="s">
        <v>81</v>
      </c>
    </row>
    <row r="86" spans="1:21">
      <c r="A86">
        <v>3085</v>
      </c>
      <c r="B86" t="s">
        <v>104</v>
      </c>
      <c r="C86" t="s">
        <v>71</v>
      </c>
      <c r="D86" s="7">
        <v>21678</v>
      </c>
      <c r="E86" s="7">
        <v>45690</v>
      </c>
      <c r="F86">
        <v>1006</v>
      </c>
      <c r="G86">
        <v>2018</v>
      </c>
      <c r="H86" t="s">
        <v>21</v>
      </c>
      <c r="I86" t="s">
        <v>67</v>
      </c>
      <c r="J86" s="7"/>
      <c r="K86" t="s">
        <v>68</v>
      </c>
      <c r="L86" s="7">
        <v>46200</v>
      </c>
      <c r="M86">
        <v>5</v>
      </c>
      <c r="N86">
        <v>12</v>
      </c>
      <c r="O86">
        <v>14</v>
      </c>
      <c r="P86">
        <v>30</v>
      </c>
      <c r="Q86">
        <v>90</v>
      </c>
      <c r="R86" t="s">
        <v>229</v>
      </c>
      <c r="S86" t="s">
        <v>229</v>
      </c>
      <c r="T86" t="s">
        <v>229</v>
      </c>
      <c r="U86" t="s">
        <v>67</v>
      </c>
    </row>
    <row r="87" spans="1:21">
      <c r="A87">
        <v>3086</v>
      </c>
      <c r="B87" t="s">
        <v>155</v>
      </c>
      <c r="C87" t="s">
        <v>169</v>
      </c>
      <c r="D87" s="7">
        <v>29862</v>
      </c>
      <c r="E87" s="7">
        <v>45177</v>
      </c>
      <c r="F87">
        <v>1002</v>
      </c>
      <c r="G87">
        <v>2006</v>
      </c>
      <c r="H87" t="s">
        <v>21</v>
      </c>
      <c r="I87" t="s">
        <v>72</v>
      </c>
      <c r="J87" s="7"/>
      <c r="K87" t="s">
        <v>68</v>
      </c>
      <c r="L87" s="7">
        <v>45579</v>
      </c>
      <c r="M87">
        <v>1</v>
      </c>
      <c r="N87">
        <v>6</v>
      </c>
      <c r="O87">
        <v>635</v>
      </c>
      <c r="P87">
        <v>14</v>
      </c>
      <c r="Q87">
        <v>60</v>
      </c>
      <c r="R87" t="s">
        <v>228</v>
      </c>
      <c r="S87" t="s">
        <v>229</v>
      </c>
      <c r="T87" t="s">
        <v>228</v>
      </c>
      <c r="U87" t="s">
        <v>227</v>
      </c>
    </row>
    <row r="88" spans="1:21">
      <c r="A88">
        <v>3087</v>
      </c>
      <c r="B88" t="s">
        <v>170</v>
      </c>
      <c r="C88" t="s">
        <v>129</v>
      </c>
      <c r="D88" s="7">
        <v>27304</v>
      </c>
      <c r="E88" s="7">
        <v>45816</v>
      </c>
      <c r="F88">
        <v>1003</v>
      </c>
      <c r="G88">
        <v>2007</v>
      </c>
      <c r="H88" t="s">
        <v>21</v>
      </c>
      <c r="I88" t="s">
        <v>67</v>
      </c>
      <c r="J88" s="7"/>
      <c r="K88" t="s">
        <v>68</v>
      </c>
      <c r="L88" s="7">
        <v>46206</v>
      </c>
      <c r="M88">
        <v>12</v>
      </c>
      <c r="N88">
        <v>18</v>
      </c>
      <c r="O88">
        <v>8</v>
      </c>
      <c r="P88">
        <v>30</v>
      </c>
      <c r="Q88">
        <v>90</v>
      </c>
      <c r="R88" t="s">
        <v>229</v>
      </c>
      <c r="S88" t="s">
        <v>229</v>
      </c>
      <c r="T88" t="s">
        <v>229</v>
      </c>
      <c r="U88" t="s">
        <v>67</v>
      </c>
    </row>
    <row r="89" spans="1:21">
      <c r="A89">
        <v>3088</v>
      </c>
      <c r="B89" t="s">
        <v>107</v>
      </c>
      <c r="C89" t="s">
        <v>151</v>
      </c>
      <c r="D89" s="7">
        <v>35767</v>
      </c>
      <c r="E89" s="7">
        <v>45510</v>
      </c>
      <c r="F89">
        <v>1005</v>
      </c>
      <c r="G89">
        <v>2015</v>
      </c>
      <c r="H89" t="s">
        <v>106</v>
      </c>
      <c r="I89" t="s">
        <v>72</v>
      </c>
      <c r="J89" s="7">
        <v>45604</v>
      </c>
      <c r="K89" t="s">
        <v>91</v>
      </c>
      <c r="L89" s="7">
        <v>45586</v>
      </c>
      <c r="M89">
        <v>5</v>
      </c>
      <c r="N89">
        <v>6</v>
      </c>
      <c r="O89">
        <v>628</v>
      </c>
      <c r="P89">
        <v>21</v>
      </c>
      <c r="Q89">
        <v>75</v>
      </c>
      <c r="R89" t="s">
        <v>229</v>
      </c>
      <c r="S89" t="s">
        <v>229</v>
      </c>
      <c r="T89" t="s">
        <v>229</v>
      </c>
      <c r="U89" t="s">
        <v>106</v>
      </c>
    </row>
    <row r="90" spans="1:21">
      <c r="A90">
        <v>3089</v>
      </c>
      <c r="B90" t="s">
        <v>168</v>
      </c>
      <c r="C90" t="s">
        <v>165</v>
      </c>
      <c r="D90" s="7">
        <v>34922</v>
      </c>
      <c r="E90" s="7">
        <v>46036</v>
      </c>
      <c r="F90">
        <v>1004</v>
      </c>
      <c r="G90">
        <v>2011</v>
      </c>
      <c r="H90" t="s">
        <v>86</v>
      </c>
      <c r="I90" t="s">
        <v>72</v>
      </c>
      <c r="J90" s="7"/>
      <c r="K90" t="s">
        <v>68</v>
      </c>
      <c r="L90" s="7">
        <v>46196</v>
      </c>
      <c r="M90">
        <v>9</v>
      </c>
      <c r="N90">
        <v>16</v>
      </c>
      <c r="O90">
        <v>18</v>
      </c>
      <c r="P90">
        <v>14</v>
      </c>
      <c r="Q90">
        <v>45</v>
      </c>
      <c r="R90" t="s">
        <v>228</v>
      </c>
      <c r="S90" t="s">
        <v>229</v>
      </c>
      <c r="T90" t="s">
        <v>229</v>
      </c>
      <c r="U90" t="s">
        <v>72</v>
      </c>
    </row>
    <row r="91" spans="1:21">
      <c r="A91">
        <v>3090</v>
      </c>
      <c r="B91" t="s">
        <v>159</v>
      </c>
      <c r="C91" t="s">
        <v>114</v>
      </c>
      <c r="D91" s="7">
        <v>28872</v>
      </c>
      <c r="E91" s="7">
        <v>45874</v>
      </c>
      <c r="F91">
        <v>1001</v>
      </c>
      <c r="G91">
        <v>2003</v>
      </c>
      <c r="H91" t="s">
        <v>21</v>
      </c>
      <c r="I91" t="s">
        <v>72</v>
      </c>
      <c r="J91" s="7"/>
      <c r="K91" t="s">
        <v>68</v>
      </c>
      <c r="L91" s="7">
        <v>46176</v>
      </c>
      <c r="M91">
        <v>7</v>
      </c>
      <c r="N91">
        <v>14</v>
      </c>
      <c r="O91">
        <v>38</v>
      </c>
      <c r="P91">
        <v>30</v>
      </c>
      <c r="Q91">
        <v>90</v>
      </c>
      <c r="R91" t="s">
        <v>228</v>
      </c>
      <c r="S91" t="s">
        <v>229</v>
      </c>
      <c r="T91" t="s">
        <v>229</v>
      </c>
      <c r="U91" t="s">
        <v>72</v>
      </c>
    </row>
    <row r="92" spans="1:21">
      <c r="A92">
        <v>3091</v>
      </c>
      <c r="B92" t="s">
        <v>171</v>
      </c>
      <c r="C92" t="s">
        <v>162</v>
      </c>
      <c r="D92" s="7">
        <v>29678</v>
      </c>
      <c r="E92" s="7">
        <v>45839</v>
      </c>
      <c r="F92">
        <v>1005</v>
      </c>
      <c r="G92">
        <v>2014</v>
      </c>
      <c r="H92" t="s">
        <v>21</v>
      </c>
      <c r="I92" t="s">
        <v>72</v>
      </c>
      <c r="J92" s="7"/>
      <c r="K92" t="s">
        <v>68</v>
      </c>
      <c r="L92" s="7">
        <v>46174</v>
      </c>
      <c r="M92">
        <v>6</v>
      </c>
      <c r="N92">
        <v>10</v>
      </c>
      <c r="O92">
        <v>40</v>
      </c>
      <c r="P92">
        <v>21</v>
      </c>
      <c r="Q92">
        <v>75</v>
      </c>
      <c r="R92" t="s">
        <v>228</v>
      </c>
      <c r="S92" t="s">
        <v>229</v>
      </c>
      <c r="T92" t="s">
        <v>229</v>
      </c>
      <c r="U92" t="s">
        <v>72</v>
      </c>
    </row>
    <row r="93" spans="1:21">
      <c r="A93">
        <v>3092</v>
      </c>
      <c r="B93" t="s">
        <v>128</v>
      </c>
      <c r="C93" t="s">
        <v>141</v>
      </c>
      <c r="D93" s="7">
        <v>25149</v>
      </c>
      <c r="E93" s="7">
        <v>45765</v>
      </c>
      <c r="F93">
        <v>1003</v>
      </c>
      <c r="G93">
        <v>2008</v>
      </c>
      <c r="H93" t="s">
        <v>21</v>
      </c>
      <c r="I93" t="s">
        <v>67</v>
      </c>
      <c r="J93" s="7"/>
      <c r="K93" t="s">
        <v>68</v>
      </c>
      <c r="L93" s="7">
        <v>46103</v>
      </c>
      <c r="M93">
        <v>6</v>
      </c>
      <c r="N93">
        <v>11</v>
      </c>
      <c r="O93">
        <v>111</v>
      </c>
      <c r="P93">
        <v>30</v>
      </c>
      <c r="Q93">
        <v>90</v>
      </c>
      <c r="R93" t="s">
        <v>228</v>
      </c>
      <c r="S93" t="s">
        <v>229</v>
      </c>
      <c r="T93" t="s">
        <v>228</v>
      </c>
      <c r="U93" t="s">
        <v>227</v>
      </c>
    </row>
    <row r="94" spans="1:21">
      <c r="A94">
        <v>3093</v>
      </c>
      <c r="B94" t="s">
        <v>107</v>
      </c>
      <c r="C94" t="s">
        <v>131</v>
      </c>
      <c r="D94" s="7">
        <v>34705</v>
      </c>
      <c r="E94" s="7">
        <v>45685</v>
      </c>
      <c r="F94">
        <v>1005</v>
      </c>
      <c r="G94">
        <v>2015</v>
      </c>
      <c r="H94" t="s">
        <v>21</v>
      </c>
      <c r="I94" t="s">
        <v>67</v>
      </c>
      <c r="J94" s="7"/>
      <c r="K94" t="s">
        <v>68</v>
      </c>
      <c r="L94" s="7">
        <v>46043</v>
      </c>
      <c r="M94">
        <v>3</v>
      </c>
      <c r="N94">
        <v>7</v>
      </c>
      <c r="O94">
        <v>171</v>
      </c>
      <c r="P94">
        <v>21</v>
      </c>
      <c r="Q94">
        <v>75</v>
      </c>
      <c r="R94" t="s">
        <v>228</v>
      </c>
      <c r="S94" t="s">
        <v>229</v>
      </c>
      <c r="T94" t="s">
        <v>228</v>
      </c>
      <c r="U94" t="s">
        <v>227</v>
      </c>
    </row>
    <row r="95" spans="1:21">
      <c r="A95">
        <v>3094</v>
      </c>
      <c r="B95" t="s">
        <v>69</v>
      </c>
      <c r="C95" t="s">
        <v>111</v>
      </c>
      <c r="D95" s="7">
        <v>25199</v>
      </c>
      <c r="E95" s="7">
        <v>45725</v>
      </c>
      <c r="F95">
        <v>1005</v>
      </c>
      <c r="G95">
        <v>2015</v>
      </c>
      <c r="H95" t="s">
        <v>21</v>
      </c>
      <c r="I95" t="s">
        <v>67</v>
      </c>
      <c r="J95" s="7"/>
      <c r="K95" t="s">
        <v>68</v>
      </c>
      <c r="L95" s="7">
        <v>46183</v>
      </c>
      <c r="M95">
        <v>1</v>
      </c>
      <c r="N95">
        <v>5</v>
      </c>
      <c r="O95">
        <v>31</v>
      </c>
      <c r="P95">
        <v>21</v>
      </c>
      <c r="Q95">
        <v>75</v>
      </c>
      <c r="R95" t="s">
        <v>228</v>
      </c>
      <c r="S95" t="s">
        <v>229</v>
      </c>
      <c r="T95" t="s">
        <v>229</v>
      </c>
      <c r="U95" t="s">
        <v>72</v>
      </c>
    </row>
    <row r="96" spans="1:21">
      <c r="A96">
        <v>3095</v>
      </c>
      <c r="B96" t="s">
        <v>117</v>
      </c>
      <c r="C96" t="s">
        <v>114</v>
      </c>
      <c r="D96" s="7">
        <v>27827</v>
      </c>
      <c r="E96" s="7">
        <v>45212</v>
      </c>
      <c r="F96">
        <v>1002</v>
      </c>
      <c r="G96">
        <v>2006</v>
      </c>
      <c r="H96" t="s">
        <v>21</v>
      </c>
      <c r="I96" t="s">
        <v>72</v>
      </c>
      <c r="J96" s="7"/>
      <c r="K96" t="s">
        <v>68</v>
      </c>
      <c r="L96" s="7">
        <v>45899</v>
      </c>
      <c r="M96">
        <v>2</v>
      </c>
      <c r="N96">
        <v>4</v>
      </c>
      <c r="O96">
        <v>315</v>
      </c>
      <c r="P96">
        <v>14</v>
      </c>
      <c r="Q96">
        <v>60</v>
      </c>
      <c r="R96" t="s">
        <v>228</v>
      </c>
      <c r="S96" t="s">
        <v>229</v>
      </c>
      <c r="T96" t="s">
        <v>228</v>
      </c>
      <c r="U96" t="s">
        <v>227</v>
      </c>
    </row>
    <row r="97" spans="1:21">
      <c r="A97">
        <v>3096</v>
      </c>
      <c r="B97" t="s">
        <v>153</v>
      </c>
      <c r="C97" t="s">
        <v>172</v>
      </c>
      <c r="D97" s="7">
        <v>34924</v>
      </c>
      <c r="E97" s="7">
        <v>45329</v>
      </c>
      <c r="F97">
        <v>1003</v>
      </c>
      <c r="G97">
        <v>2009</v>
      </c>
      <c r="H97" t="s">
        <v>106</v>
      </c>
      <c r="I97" t="s">
        <v>72</v>
      </c>
      <c r="J97" s="7">
        <v>45348</v>
      </c>
      <c r="K97" t="s">
        <v>149</v>
      </c>
      <c r="L97" s="7">
        <v>45348</v>
      </c>
      <c r="M97">
        <v>4</v>
      </c>
      <c r="N97">
        <v>9</v>
      </c>
      <c r="O97">
        <v>866</v>
      </c>
      <c r="P97">
        <v>30</v>
      </c>
      <c r="Q97">
        <v>90</v>
      </c>
      <c r="R97" t="s">
        <v>229</v>
      </c>
      <c r="S97" t="s">
        <v>229</v>
      </c>
      <c r="T97" t="s">
        <v>229</v>
      </c>
      <c r="U97" t="s">
        <v>106</v>
      </c>
    </row>
    <row r="98" spans="1:21">
      <c r="A98">
        <v>3097</v>
      </c>
      <c r="B98" t="s">
        <v>128</v>
      </c>
      <c r="C98" t="s">
        <v>144</v>
      </c>
      <c r="D98" s="7">
        <v>27112</v>
      </c>
      <c r="E98" s="7">
        <v>46097</v>
      </c>
      <c r="F98">
        <v>1004</v>
      </c>
      <c r="G98">
        <v>2012</v>
      </c>
      <c r="H98" t="s">
        <v>21</v>
      </c>
      <c r="I98" t="s">
        <v>81</v>
      </c>
      <c r="J98" s="7"/>
      <c r="K98" t="s">
        <v>68</v>
      </c>
      <c r="L98" s="7">
        <v>46203</v>
      </c>
      <c r="M98">
        <v>9</v>
      </c>
      <c r="N98">
        <v>20</v>
      </c>
      <c r="O98">
        <v>11</v>
      </c>
      <c r="P98">
        <v>14</v>
      </c>
      <c r="Q98">
        <v>45</v>
      </c>
      <c r="R98" t="s">
        <v>229</v>
      </c>
      <c r="S98" t="s">
        <v>229</v>
      </c>
      <c r="T98" t="s">
        <v>229</v>
      </c>
      <c r="U98" t="s">
        <v>67</v>
      </c>
    </row>
    <row r="99" spans="1:21">
      <c r="A99">
        <v>3098</v>
      </c>
      <c r="B99" t="s">
        <v>73</v>
      </c>
      <c r="C99" t="s">
        <v>136</v>
      </c>
      <c r="D99" s="7">
        <v>20595</v>
      </c>
      <c r="E99" s="7">
        <v>45429</v>
      </c>
      <c r="F99">
        <v>1001</v>
      </c>
      <c r="G99">
        <v>2003</v>
      </c>
      <c r="H99" t="s">
        <v>21</v>
      </c>
      <c r="I99" t="s">
        <v>72</v>
      </c>
      <c r="J99" s="7"/>
      <c r="K99" t="s">
        <v>68</v>
      </c>
      <c r="L99" s="7">
        <v>46057</v>
      </c>
      <c r="M99">
        <v>6</v>
      </c>
      <c r="N99">
        <v>11</v>
      </c>
      <c r="O99">
        <v>157</v>
      </c>
      <c r="P99">
        <v>30</v>
      </c>
      <c r="Q99">
        <v>90</v>
      </c>
      <c r="R99" t="s">
        <v>228</v>
      </c>
      <c r="S99" t="s">
        <v>229</v>
      </c>
      <c r="T99" t="s">
        <v>228</v>
      </c>
      <c r="U99" t="s">
        <v>227</v>
      </c>
    </row>
    <row r="100" spans="1:21">
      <c r="A100">
        <v>3099</v>
      </c>
      <c r="B100" t="s">
        <v>147</v>
      </c>
      <c r="C100" t="s">
        <v>173</v>
      </c>
      <c r="D100" s="7">
        <v>37125</v>
      </c>
      <c r="E100" s="7">
        <v>45971</v>
      </c>
      <c r="F100">
        <v>1005</v>
      </c>
      <c r="G100">
        <v>2014</v>
      </c>
      <c r="H100" t="s">
        <v>21</v>
      </c>
      <c r="I100" t="s">
        <v>67</v>
      </c>
      <c r="J100" s="7"/>
      <c r="K100" t="s">
        <v>68</v>
      </c>
      <c r="L100" s="7">
        <v>46169</v>
      </c>
      <c r="M100">
        <v>3</v>
      </c>
      <c r="N100">
        <v>7</v>
      </c>
      <c r="O100">
        <v>45</v>
      </c>
      <c r="P100">
        <v>21</v>
      </c>
      <c r="Q100">
        <v>75</v>
      </c>
      <c r="R100" t="s">
        <v>228</v>
      </c>
      <c r="S100" t="s">
        <v>229</v>
      </c>
      <c r="T100" t="s">
        <v>229</v>
      </c>
      <c r="U100" t="s">
        <v>72</v>
      </c>
    </row>
    <row r="101" spans="1:21">
      <c r="A101">
        <v>3100</v>
      </c>
      <c r="B101" t="s">
        <v>141</v>
      </c>
      <c r="C101" t="s">
        <v>131</v>
      </c>
      <c r="D101" s="7">
        <v>33346</v>
      </c>
      <c r="E101" s="7">
        <v>45727</v>
      </c>
      <c r="F101">
        <v>1005</v>
      </c>
      <c r="G101">
        <v>2013</v>
      </c>
      <c r="H101" t="s">
        <v>86</v>
      </c>
      <c r="I101" t="s">
        <v>67</v>
      </c>
      <c r="J101" s="7"/>
      <c r="K101" t="s">
        <v>68</v>
      </c>
      <c r="L101" s="7">
        <v>46180</v>
      </c>
      <c r="M101">
        <v>10</v>
      </c>
      <c r="N101">
        <v>16</v>
      </c>
      <c r="O101">
        <v>34</v>
      </c>
      <c r="P101">
        <v>21</v>
      </c>
      <c r="Q101">
        <v>75</v>
      </c>
      <c r="R101" t="s">
        <v>228</v>
      </c>
      <c r="S101" t="s">
        <v>229</v>
      </c>
      <c r="T101" t="s">
        <v>229</v>
      </c>
      <c r="U101" t="s">
        <v>72</v>
      </c>
    </row>
    <row r="102" spans="1:21">
      <c r="A102">
        <v>3101</v>
      </c>
      <c r="B102" t="s">
        <v>96</v>
      </c>
      <c r="C102" t="s">
        <v>74</v>
      </c>
      <c r="D102" s="7">
        <v>22090</v>
      </c>
      <c r="E102" s="7">
        <v>45544</v>
      </c>
      <c r="F102">
        <v>1004</v>
      </c>
      <c r="G102">
        <v>2012</v>
      </c>
      <c r="H102" t="s">
        <v>21</v>
      </c>
      <c r="I102" t="s">
        <v>67</v>
      </c>
      <c r="J102" s="7"/>
      <c r="K102" t="s">
        <v>68</v>
      </c>
      <c r="L102" s="7">
        <v>46167</v>
      </c>
      <c r="M102">
        <v>6</v>
      </c>
      <c r="N102">
        <v>11</v>
      </c>
      <c r="O102">
        <v>47</v>
      </c>
      <c r="P102">
        <v>14</v>
      </c>
      <c r="Q102">
        <v>45</v>
      </c>
      <c r="R102" t="s">
        <v>228</v>
      </c>
      <c r="S102" t="s">
        <v>229</v>
      </c>
      <c r="T102" t="s">
        <v>228</v>
      </c>
      <c r="U102" t="s">
        <v>227</v>
      </c>
    </row>
    <row r="103" spans="1:21">
      <c r="A103">
        <v>3102</v>
      </c>
      <c r="B103" t="s">
        <v>124</v>
      </c>
      <c r="C103" t="s">
        <v>160</v>
      </c>
      <c r="D103" s="7">
        <v>36926</v>
      </c>
      <c r="E103" s="7">
        <v>45272</v>
      </c>
      <c r="F103">
        <v>1003</v>
      </c>
      <c r="G103">
        <v>2009</v>
      </c>
      <c r="H103" t="s">
        <v>21</v>
      </c>
      <c r="I103" t="s">
        <v>67</v>
      </c>
      <c r="J103" s="7"/>
      <c r="K103" t="s">
        <v>68</v>
      </c>
      <c r="L103" s="7">
        <v>46136</v>
      </c>
      <c r="M103">
        <v>6</v>
      </c>
      <c r="N103">
        <v>8</v>
      </c>
      <c r="O103">
        <v>78</v>
      </c>
      <c r="P103">
        <v>30</v>
      </c>
      <c r="Q103">
        <v>90</v>
      </c>
      <c r="R103" t="s">
        <v>228</v>
      </c>
      <c r="S103" t="s">
        <v>228</v>
      </c>
      <c r="T103" t="s">
        <v>229</v>
      </c>
      <c r="U103" t="s">
        <v>81</v>
      </c>
    </row>
    <row r="104" spans="1:21">
      <c r="A104">
        <v>3103</v>
      </c>
      <c r="B104" t="s">
        <v>153</v>
      </c>
      <c r="C104" t="s">
        <v>174</v>
      </c>
      <c r="D104" s="7">
        <v>19908</v>
      </c>
      <c r="E104" s="7">
        <v>45593</v>
      </c>
      <c r="F104">
        <v>1004</v>
      </c>
      <c r="G104">
        <v>2012</v>
      </c>
      <c r="H104" t="s">
        <v>86</v>
      </c>
      <c r="I104" t="s">
        <v>72</v>
      </c>
      <c r="J104" s="7"/>
      <c r="K104" t="s">
        <v>68</v>
      </c>
      <c r="L104" s="7">
        <v>46201</v>
      </c>
      <c r="M104">
        <v>8</v>
      </c>
      <c r="N104">
        <v>14</v>
      </c>
      <c r="O104">
        <v>13</v>
      </c>
      <c r="P104">
        <v>14</v>
      </c>
      <c r="Q104">
        <v>45</v>
      </c>
      <c r="R104" t="s">
        <v>229</v>
      </c>
      <c r="S104" t="s">
        <v>229</v>
      </c>
      <c r="T104" t="s">
        <v>229</v>
      </c>
      <c r="U104" t="s">
        <v>67</v>
      </c>
    </row>
    <row r="105" spans="1:21">
      <c r="A105">
        <v>3104</v>
      </c>
      <c r="B105" t="s">
        <v>128</v>
      </c>
      <c r="C105" t="s">
        <v>175</v>
      </c>
      <c r="D105" s="7">
        <v>26487</v>
      </c>
      <c r="E105" s="7">
        <v>45660</v>
      </c>
      <c r="F105">
        <v>1003</v>
      </c>
      <c r="G105">
        <v>2009</v>
      </c>
      <c r="H105" t="s">
        <v>75</v>
      </c>
      <c r="I105" t="s">
        <v>67</v>
      </c>
      <c r="J105" s="7">
        <v>45869</v>
      </c>
      <c r="K105" t="s">
        <v>121</v>
      </c>
      <c r="L105" s="7">
        <v>45841</v>
      </c>
      <c r="M105">
        <v>4</v>
      </c>
      <c r="N105">
        <v>12</v>
      </c>
      <c r="O105">
        <v>373</v>
      </c>
      <c r="P105">
        <v>30</v>
      </c>
      <c r="Q105">
        <v>90</v>
      </c>
      <c r="R105" t="s">
        <v>229</v>
      </c>
      <c r="S105" t="s">
        <v>229</v>
      </c>
      <c r="T105" t="s">
        <v>229</v>
      </c>
      <c r="U105" t="s">
        <v>67</v>
      </c>
    </row>
    <row r="106" spans="1:21">
      <c r="A106">
        <v>3105</v>
      </c>
      <c r="B106" t="s">
        <v>147</v>
      </c>
      <c r="C106" t="s">
        <v>141</v>
      </c>
      <c r="D106" s="7">
        <v>21178</v>
      </c>
      <c r="E106" s="7">
        <v>45241</v>
      </c>
      <c r="F106">
        <v>1002</v>
      </c>
      <c r="G106">
        <v>2005</v>
      </c>
      <c r="H106" t="s">
        <v>106</v>
      </c>
      <c r="I106" t="s">
        <v>81</v>
      </c>
      <c r="J106" s="7">
        <v>45417</v>
      </c>
      <c r="K106" t="s">
        <v>76</v>
      </c>
      <c r="L106" s="7">
        <v>45404</v>
      </c>
      <c r="M106">
        <v>6</v>
      </c>
      <c r="N106">
        <v>14</v>
      </c>
      <c r="O106">
        <v>810</v>
      </c>
      <c r="P106">
        <v>14</v>
      </c>
      <c r="Q106">
        <v>60</v>
      </c>
      <c r="R106" t="s">
        <v>229</v>
      </c>
      <c r="S106" t="s">
        <v>229</v>
      </c>
      <c r="T106" t="s">
        <v>229</v>
      </c>
      <c r="U106" t="s">
        <v>106</v>
      </c>
    </row>
    <row r="107" spans="1:21">
      <c r="A107">
        <v>3106</v>
      </c>
      <c r="B107" t="s">
        <v>170</v>
      </c>
      <c r="C107" t="s">
        <v>70</v>
      </c>
      <c r="D107" s="7">
        <v>28803</v>
      </c>
      <c r="E107" s="7">
        <v>45943</v>
      </c>
      <c r="F107">
        <v>1005</v>
      </c>
      <c r="G107">
        <v>2014</v>
      </c>
      <c r="H107" t="s">
        <v>21</v>
      </c>
      <c r="I107" t="s">
        <v>72</v>
      </c>
      <c r="J107" s="7"/>
      <c r="K107" t="s">
        <v>68</v>
      </c>
      <c r="L107" s="7">
        <v>46185</v>
      </c>
      <c r="M107">
        <v>8</v>
      </c>
      <c r="N107">
        <v>17</v>
      </c>
      <c r="O107">
        <v>29</v>
      </c>
      <c r="P107">
        <v>21</v>
      </c>
      <c r="Q107">
        <v>75</v>
      </c>
      <c r="R107" t="s">
        <v>228</v>
      </c>
      <c r="S107" t="s">
        <v>229</v>
      </c>
      <c r="T107" t="s">
        <v>229</v>
      </c>
      <c r="U107" t="s">
        <v>72</v>
      </c>
    </row>
    <row r="108" spans="1:21">
      <c r="A108">
        <v>3107</v>
      </c>
      <c r="B108" t="s">
        <v>147</v>
      </c>
      <c r="C108" t="s">
        <v>99</v>
      </c>
      <c r="D108" s="7">
        <v>32995</v>
      </c>
      <c r="E108" s="7">
        <v>45779</v>
      </c>
      <c r="F108">
        <v>1005</v>
      </c>
      <c r="G108">
        <v>2014</v>
      </c>
      <c r="H108" t="s">
        <v>21</v>
      </c>
      <c r="I108" t="s">
        <v>72</v>
      </c>
      <c r="J108" s="7"/>
      <c r="K108" t="s">
        <v>68</v>
      </c>
      <c r="L108" s="7">
        <v>46200</v>
      </c>
      <c r="M108">
        <v>6</v>
      </c>
      <c r="N108">
        <v>10</v>
      </c>
      <c r="O108">
        <v>14</v>
      </c>
      <c r="P108">
        <v>21</v>
      </c>
      <c r="Q108">
        <v>75</v>
      </c>
      <c r="R108" t="s">
        <v>229</v>
      </c>
      <c r="S108" t="s">
        <v>229</v>
      </c>
      <c r="T108" t="s">
        <v>229</v>
      </c>
      <c r="U108" t="s">
        <v>67</v>
      </c>
    </row>
    <row r="109" spans="1:21">
      <c r="A109">
        <v>3108</v>
      </c>
      <c r="B109" t="s">
        <v>103</v>
      </c>
      <c r="C109" t="s">
        <v>176</v>
      </c>
      <c r="D109" s="7">
        <v>37687</v>
      </c>
      <c r="E109" s="7">
        <v>45161</v>
      </c>
      <c r="F109">
        <v>1001</v>
      </c>
      <c r="G109">
        <v>2002</v>
      </c>
      <c r="H109" t="s">
        <v>21</v>
      </c>
      <c r="I109" t="s">
        <v>72</v>
      </c>
      <c r="J109" s="7"/>
      <c r="K109" t="s">
        <v>68</v>
      </c>
      <c r="L109" s="7">
        <v>46113</v>
      </c>
      <c r="M109">
        <v>4</v>
      </c>
      <c r="N109">
        <v>15</v>
      </c>
      <c r="O109">
        <v>101</v>
      </c>
      <c r="P109">
        <v>30</v>
      </c>
      <c r="Q109">
        <v>90</v>
      </c>
      <c r="R109" t="s">
        <v>228</v>
      </c>
      <c r="S109" t="s">
        <v>229</v>
      </c>
      <c r="T109" t="s">
        <v>228</v>
      </c>
      <c r="U109" t="s">
        <v>227</v>
      </c>
    </row>
    <row r="110" spans="1:21">
      <c r="A110">
        <v>3109</v>
      </c>
      <c r="B110" t="s">
        <v>110</v>
      </c>
      <c r="C110" t="s">
        <v>71</v>
      </c>
      <c r="D110" s="7">
        <v>34256</v>
      </c>
      <c r="E110" s="7">
        <v>46181</v>
      </c>
      <c r="F110">
        <v>1003</v>
      </c>
      <c r="G110">
        <v>2009</v>
      </c>
      <c r="H110" t="s">
        <v>21</v>
      </c>
      <c r="I110" t="s">
        <v>72</v>
      </c>
      <c r="J110" s="7"/>
      <c r="K110" t="s">
        <v>68</v>
      </c>
      <c r="L110" s="7">
        <v>46212</v>
      </c>
      <c r="M110">
        <v>5</v>
      </c>
      <c r="N110">
        <v>10</v>
      </c>
      <c r="O110">
        <v>2</v>
      </c>
      <c r="P110">
        <v>30</v>
      </c>
      <c r="Q110">
        <v>90</v>
      </c>
      <c r="R110" t="s">
        <v>229</v>
      </c>
      <c r="S110" t="s">
        <v>229</v>
      </c>
      <c r="T110" t="s">
        <v>229</v>
      </c>
      <c r="U110" t="s">
        <v>67</v>
      </c>
    </row>
    <row r="111" spans="1:21">
      <c r="A111">
        <v>3110</v>
      </c>
      <c r="B111" t="s">
        <v>177</v>
      </c>
      <c r="C111" t="s">
        <v>164</v>
      </c>
      <c r="D111" s="7">
        <v>34951</v>
      </c>
      <c r="E111" s="7">
        <v>45305</v>
      </c>
      <c r="F111">
        <v>1003</v>
      </c>
      <c r="G111">
        <v>2007</v>
      </c>
      <c r="H111" t="s">
        <v>106</v>
      </c>
      <c r="I111" t="s">
        <v>67</v>
      </c>
      <c r="J111" s="7">
        <v>45793</v>
      </c>
      <c r="K111" t="s">
        <v>76</v>
      </c>
      <c r="L111" s="7">
        <v>45758</v>
      </c>
      <c r="M111">
        <v>6</v>
      </c>
      <c r="N111">
        <v>15</v>
      </c>
      <c r="O111">
        <v>456</v>
      </c>
      <c r="P111">
        <v>30</v>
      </c>
      <c r="Q111">
        <v>90</v>
      </c>
      <c r="R111" t="s">
        <v>229</v>
      </c>
      <c r="S111" t="s">
        <v>229</v>
      </c>
      <c r="T111" t="s">
        <v>229</v>
      </c>
      <c r="U111" t="s">
        <v>106</v>
      </c>
    </row>
    <row r="112" spans="1:21">
      <c r="A112">
        <v>3111</v>
      </c>
      <c r="B112" t="s">
        <v>153</v>
      </c>
      <c r="C112" t="s">
        <v>178</v>
      </c>
      <c r="D112" s="7">
        <v>32327</v>
      </c>
      <c r="E112" s="7">
        <v>46133</v>
      </c>
      <c r="F112">
        <v>1003</v>
      </c>
      <c r="G112">
        <v>2009</v>
      </c>
      <c r="H112" t="s">
        <v>21</v>
      </c>
      <c r="I112" t="s">
        <v>67</v>
      </c>
      <c r="J112" s="7"/>
      <c r="K112" t="s">
        <v>68</v>
      </c>
      <c r="L112" s="7">
        <v>46214</v>
      </c>
      <c r="M112">
        <v>11</v>
      </c>
      <c r="N112">
        <v>16</v>
      </c>
      <c r="O112">
        <v>0</v>
      </c>
      <c r="P112">
        <v>30</v>
      </c>
      <c r="Q112">
        <v>90</v>
      </c>
      <c r="R112" t="s">
        <v>229</v>
      </c>
      <c r="S112" t="s">
        <v>229</v>
      </c>
      <c r="T112" t="s">
        <v>229</v>
      </c>
      <c r="U112" t="s">
        <v>67</v>
      </c>
    </row>
    <row r="113" spans="1:21">
      <c r="A113">
        <v>3112</v>
      </c>
      <c r="B113" t="s">
        <v>82</v>
      </c>
      <c r="C113" t="s">
        <v>118</v>
      </c>
      <c r="D113" s="7">
        <v>29432</v>
      </c>
      <c r="E113" s="7">
        <v>45356</v>
      </c>
      <c r="F113">
        <v>1004</v>
      </c>
      <c r="G113">
        <v>2011</v>
      </c>
      <c r="H113" t="s">
        <v>21</v>
      </c>
      <c r="I113" t="s">
        <v>67</v>
      </c>
      <c r="J113" s="7"/>
      <c r="K113" t="s">
        <v>68</v>
      </c>
      <c r="L113" s="7">
        <v>46174</v>
      </c>
      <c r="M113">
        <v>11</v>
      </c>
      <c r="N113">
        <v>20</v>
      </c>
      <c r="O113">
        <v>40</v>
      </c>
      <c r="P113">
        <v>14</v>
      </c>
      <c r="Q113">
        <v>45</v>
      </c>
      <c r="R113" t="s">
        <v>228</v>
      </c>
      <c r="S113" t="s">
        <v>228</v>
      </c>
      <c r="T113" t="s">
        <v>229</v>
      </c>
      <c r="U113" t="s">
        <v>81</v>
      </c>
    </row>
    <row r="114" spans="1:21">
      <c r="A114">
        <v>3113</v>
      </c>
      <c r="B114" t="s">
        <v>148</v>
      </c>
      <c r="C114" t="s">
        <v>109</v>
      </c>
      <c r="D114" s="7">
        <v>32380</v>
      </c>
      <c r="E114" s="7">
        <v>45230</v>
      </c>
      <c r="F114">
        <v>1005</v>
      </c>
      <c r="G114">
        <v>2013</v>
      </c>
      <c r="H114" t="s">
        <v>21</v>
      </c>
      <c r="I114" t="s">
        <v>72</v>
      </c>
      <c r="J114" s="7"/>
      <c r="K114" t="s">
        <v>68</v>
      </c>
      <c r="L114" s="7">
        <v>46165</v>
      </c>
      <c r="M114">
        <v>8</v>
      </c>
      <c r="N114">
        <v>19</v>
      </c>
      <c r="O114">
        <v>49</v>
      </c>
      <c r="P114">
        <v>21</v>
      </c>
      <c r="Q114">
        <v>75</v>
      </c>
      <c r="R114" t="s">
        <v>228</v>
      </c>
      <c r="S114" t="s">
        <v>229</v>
      </c>
      <c r="T114" t="s">
        <v>229</v>
      </c>
      <c r="U114" t="s">
        <v>72</v>
      </c>
    </row>
    <row r="115" spans="1:21">
      <c r="A115">
        <v>3114</v>
      </c>
      <c r="B115" t="s">
        <v>170</v>
      </c>
      <c r="C115" t="s">
        <v>114</v>
      </c>
      <c r="D115" s="7">
        <v>20530</v>
      </c>
      <c r="E115" s="7">
        <v>45535</v>
      </c>
      <c r="F115">
        <v>1003</v>
      </c>
      <c r="G115">
        <v>2009</v>
      </c>
      <c r="H115" t="s">
        <v>86</v>
      </c>
      <c r="I115" t="s">
        <v>72</v>
      </c>
      <c r="J115" s="7"/>
      <c r="K115" t="s">
        <v>68</v>
      </c>
      <c r="L115" s="7">
        <v>46146</v>
      </c>
      <c r="M115">
        <v>9</v>
      </c>
      <c r="N115">
        <v>17</v>
      </c>
      <c r="O115">
        <v>68</v>
      </c>
      <c r="P115">
        <v>30</v>
      </c>
      <c r="Q115">
        <v>90</v>
      </c>
      <c r="R115" t="s">
        <v>228</v>
      </c>
      <c r="S115" t="s">
        <v>228</v>
      </c>
      <c r="T115" t="s">
        <v>229</v>
      </c>
      <c r="U115" t="s">
        <v>81</v>
      </c>
    </row>
    <row r="116" spans="1:21">
      <c r="A116">
        <v>3115</v>
      </c>
      <c r="B116" t="s">
        <v>96</v>
      </c>
      <c r="C116" t="s">
        <v>173</v>
      </c>
      <c r="D116" s="7">
        <v>22817</v>
      </c>
      <c r="E116" s="7">
        <v>45178</v>
      </c>
      <c r="F116">
        <v>1002</v>
      </c>
      <c r="G116">
        <v>2006</v>
      </c>
      <c r="H116" t="s">
        <v>21</v>
      </c>
      <c r="I116" t="s">
        <v>72</v>
      </c>
      <c r="J116" s="7"/>
      <c r="K116" t="s">
        <v>68</v>
      </c>
      <c r="L116" s="7">
        <v>46129</v>
      </c>
      <c r="M116">
        <v>8</v>
      </c>
      <c r="N116">
        <v>13</v>
      </c>
      <c r="O116">
        <v>85</v>
      </c>
      <c r="P116">
        <v>14</v>
      </c>
      <c r="Q116">
        <v>60</v>
      </c>
      <c r="R116" t="s">
        <v>228</v>
      </c>
      <c r="S116" t="s">
        <v>229</v>
      </c>
      <c r="T116" t="s">
        <v>228</v>
      </c>
      <c r="U116" t="s">
        <v>227</v>
      </c>
    </row>
    <row r="117" spans="1:21">
      <c r="A117">
        <v>3116</v>
      </c>
      <c r="B117" t="s">
        <v>69</v>
      </c>
      <c r="C117" t="s">
        <v>105</v>
      </c>
      <c r="D117" s="7">
        <v>32208</v>
      </c>
      <c r="E117" s="7">
        <v>45309</v>
      </c>
      <c r="F117">
        <v>1002</v>
      </c>
      <c r="G117">
        <v>2005</v>
      </c>
      <c r="H117" t="s">
        <v>21</v>
      </c>
      <c r="I117" t="s">
        <v>67</v>
      </c>
      <c r="J117" s="7"/>
      <c r="K117" t="s">
        <v>68</v>
      </c>
      <c r="L117" s="7"/>
      <c r="P117">
        <v>14</v>
      </c>
      <c r="Q117">
        <v>60</v>
      </c>
    </row>
    <row r="118" spans="1:21">
      <c r="A118">
        <v>3117</v>
      </c>
      <c r="B118" t="s">
        <v>179</v>
      </c>
      <c r="C118" t="s">
        <v>180</v>
      </c>
      <c r="D118" s="7">
        <v>23884</v>
      </c>
      <c r="E118" s="7">
        <v>46139</v>
      </c>
      <c r="F118">
        <v>1001</v>
      </c>
      <c r="G118">
        <v>2003</v>
      </c>
      <c r="H118" t="s">
        <v>106</v>
      </c>
      <c r="I118" t="s">
        <v>72</v>
      </c>
      <c r="J118" s="7">
        <v>46183</v>
      </c>
      <c r="K118" t="s">
        <v>149</v>
      </c>
      <c r="L118" s="7">
        <v>46173</v>
      </c>
      <c r="M118">
        <v>5</v>
      </c>
      <c r="N118">
        <v>13</v>
      </c>
      <c r="O118">
        <v>41</v>
      </c>
      <c r="P118">
        <v>30</v>
      </c>
      <c r="Q118">
        <v>90</v>
      </c>
      <c r="R118" t="s">
        <v>229</v>
      </c>
      <c r="S118" t="s">
        <v>229</v>
      </c>
      <c r="T118" t="s">
        <v>229</v>
      </c>
      <c r="U118" t="s">
        <v>106</v>
      </c>
    </row>
    <row r="119" spans="1:21">
      <c r="A119">
        <v>3118</v>
      </c>
      <c r="B119" t="s">
        <v>89</v>
      </c>
      <c r="C119" t="s">
        <v>173</v>
      </c>
      <c r="D119" s="7">
        <v>36902</v>
      </c>
      <c r="E119" s="7">
        <v>45415</v>
      </c>
      <c r="F119">
        <v>1004</v>
      </c>
      <c r="G119">
        <v>2012</v>
      </c>
      <c r="H119" t="s">
        <v>106</v>
      </c>
      <c r="I119" t="s">
        <v>67</v>
      </c>
      <c r="J119" s="7">
        <v>45814</v>
      </c>
      <c r="K119" t="s">
        <v>91</v>
      </c>
      <c r="L119" s="7">
        <v>45752</v>
      </c>
      <c r="M119">
        <v>8</v>
      </c>
      <c r="N119">
        <v>13</v>
      </c>
      <c r="O119">
        <v>462</v>
      </c>
      <c r="P119">
        <v>14</v>
      </c>
      <c r="Q119">
        <v>45</v>
      </c>
      <c r="R119" t="s">
        <v>229</v>
      </c>
      <c r="S119" t="s">
        <v>229</v>
      </c>
      <c r="T119" t="s">
        <v>229</v>
      </c>
      <c r="U119" t="s">
        <v>106</v>
      </c>
    </row>
    <row r="120" spans="1:21">
      <c r="A120">
        <v>3119</v>
      </c>
      <c r="B120" t="s">
        <v>170</v>
      </c>
      <c r="C120" t="s">
        <v>144</v>
      </c>
      <c r="D120" s="7">
        <v>27891</v>
      </c>
      <c r="E120" s="7">
        <v>45968</v>
      </c>
      <c r="F120">
        <v>1005</v>
      </c>
      <c r="G120">
        <v>2015</v>
      </c>
      <c r="H120" t="s">
        <v>75</v>
      </c>
      <c r="I120" t="s">
        <v>81</v>
      </c>
      <c r="J120" s="7">
        <v>46062</v>
      </c>
      <c r="K120" t="s">
        <v>149</v>
      </c>
      <c r="L120" s="7">
        <v>46058</v>
      </c>
      <c r="M120">
        <v>9</v>
      </c>
      <c r="N120">
        <v>17</v>
      </c>
      <c r="O120">
        <v>156</v>
      </c>
      <c r="P120">
        <v>21</v>
      </c>
      <c r="Q120">
        <v>75</v>
      </c>
      <c r="R120" t="s">
        <v>229</v>
      </c>
      <c r="S120" t="s">
        <v>229</v>
      </c>
      <c r="T120" t="s">
        <v>229</v>
      </c>
      <c r="U120" t="s">
        <v>67</v>
      </c>
    </row>
    <row r="121" spans="1:21">
      <c r="A121">
        <v>3120</v>
      </c>
      <c r="B121" t="s">
        <v>141</v>
      </c>
      <c r="C121" t="s">
        <v>181</v>
      </c>
      <c r="D121" s="7">
        <v>37841</v>
      </c>
      <c r="E121" s="7">
        <v>46121</v>
      </c>
      <c r="F121">
        <v>1001</v>
      </c>
      <c r="G121">
        <v>2003</v>
      </c>
      <c r="H121" t="s">
        <v>86</v>
      </c>
      <c r="I121" t="s">
        <v>81</v>
      </c>
      <c r="J121" s="7"/>
      <c r="K121" t="s">
        <v>68</v>
      </c>
      <c r="L121" s="7">
        <v>46214</v>
      </c>
      <c r="M121">
        <v>6</v>
      </c>
      <c r="N121">
        <v>8</v>
      </c>
      <c r="O121">
        <v>0</v>
      </c>
      <c r="P121">
        <v>30</v>
      </c>
      <c r="Q121">
        <v>90</v>
      </c>
      <c r="R121" t="s">
        <v>229</v>
      </c>
      <c r="S121" t="s">
        <v>229</v>
      </c>
      <c r="T121" t="s">
        <v>229</v>
      </c>
      <c r="U121" t="s">
        <v>67</v>
      </c>
    </row>
    <row r="122" spans="1:21">
      <c r="A122">
        <v>3121</v>
      </c>
      <c r="B122" t="s">
        <v>132</v>
      </c>
      <c r="C122" t="s">
        <v>88</v>
      </c>
      <c r="D122" s="7">
        <v>36646</v>
      </c>
      <c r="E122" s="7">
        <v>45891</v>
      </c>
      <c r="F122">
        <v>1004</v>
      </c>
      <c r="G122">
        <v>2012</v>
      </c>
      <c r="H122" t="s">
        <v>21</v>
      </c>
      <c r="I122" t="s">
        <v>72</v>
      </c>
      <c r="J122" s="7"/>
      <c r="K122" t="s">
        <v>68</v>
      </c>
      <c r="L122" s="7">
        <v>46173</v>
      </c>
      <c r="M122">
        <v>5</v>
      </c>
      <c r="N122">
        <v>6</v>
      </c>
      <c r="O122">
        <v>41</v>
      </c>
      <c r="P122">
        <v>14</v>
      </c>
      <c r="Q122">
        <v>45</v>
      </c>
      <c r="R122" t="s">
        <v>228</v>
      </c>
      <c r="S122" t="s">
        <v>228</v>
      </c>
      <c r="T122" t="s">
        <v>229</v>
      </c>
      <c r="U122" t="s">
        <v>81</v>
      </c>
    </row>
    <row r="123" spans="1:21">
      <c r="A123">
        <v>3122</v>
      </c>
      <c r="B123" t="s">
        <v>163</v>
      </c>
      <c r="C123" t="s">
        <v>141</v>
      </c>
      <c r="D123" s="7">
        <v>32299</v>
      </c>
      <c r="E123" s="7">
        <v>45208</v>
      </c>
      <c r="F123">
        <v>1002</v>
      </c>
      <c r="G123">
        <v>2005</v>
      </c>
      <c r="H123" t="s">
        <v>21</v>
      </c>
      <c r="I123" t="s">
        <v>67</v>
      </c>
      <c r="J123" s="7"/>
      <c r="K123" t="s">
        <v>68</v>
      </c>
      <c r="L123" s="7">
        <v>46050</v>
      </c>
      <c r="M123">
        <v>5</v>
      </c>
      <c r="N123">
        <v>11</v>
      </c>
      <c r="O123">
        <v>164</v>
      </c>
      <c r="P123">
        <v>14</v>
      </c>
      <c r="Q123">
        <v>60</v>
      </c>
      <c r="R123" t="s">
        <v>228</v>
      </c>
      <c r="S123" t="s">
        <v>229</v>
      </c>
      <c r="T123" t="s">
        <v>228</v>
      </c>
      <c r="U123" t="s">
        <v>227</v>
      </c>
    </row>
    <row r="124" spans="1:21">
      <c r="A124">
        <v>3123</v>
      </c>
      <c r="B124" t="s">
        <v>182</v>
      </c>
      <c r="C124" t="s">
        <v>93</v>
      </c>
      <c r="D124" s="7">
        <v>23823</v>
      </c>
      <c r="E124" s="7">
        <v>46133</v>
      </c>
      <c r="F124">
        <v>1004</v>
      </c>
      <c r="G124">
        <v>2012</v>
      </c>
      <c r="H124" t="s">
        <v>21</v>
      </c>
      <c r="I124" t="s">
        <v>72</v>
      </c>
      <c r="J124" s="7"/>
      <c r="K124" t="s">
        <v>68</v>
      </c>
      <c r="L124" s="7">
        <v>46204</v>
      </c>
      <c r="M124">
        <v>10</v>
      </c>
      <c r="N124">
        <v>20</v>
      </c>
      <c r="O124">
        <v>10</v>
      </c>
      <c r="P124">
        <v>14</v>
      </c>
      <c r="Q124">
        <v>45</v>
      </c>
      <c r="R124" t="s">
        <v>229</v>
      </c>
      <c r="S124" t="s">
        <v>229</v>
      </c>
      <c r="T124" t="s">
        <v>229</v>
      </c>
      <c r="U124" t="s">
        <v>67</v>
      </c>
    </row>
    <row r="125" spans="1:21">
      <c r="A125">
        <v>3124</v>
      </c>
      <c r="B125" t="s">
        <v>98</v>
      </c>
      <c r="C125" t="s">
        <v>162</v>
      </c>
      <c r="D125" s="7">
        <v>33266</v>
      </c>
      <c r="E125" s="7">
        <v>45323</v>
      </c>
      <c r="F125">
        <v>1005</v>
      </c>
      <c r="G125">
        <v>2015</v>
      </c>
      <c r="H125" t="s">
        <v>21</v>
      </c>
      <c r="I125" t="s">
        <v>67</v>
      </c>
      <c r="J125" s="7"/>
      <c r="K125" t="s">
        <v>68</v>
      </c>
      <c r="L125" s="7">
        <v>46147</v>
      </c>
      <c r="M125">
        <v>2</v>
      </c>
      <c r="N125">
        <v>8</v>
      </c>
      <c r="O125">
        <v>67</v>
      </c>
      <c r="P125">
        <v>21</v>
      </c>
      <c r="Q125">
        <v>75</v>
      </c>
      <c r="R125" t="s">
        <v>228</v>
      </c>
      <c r="S125" t="s">
        <v>228</v>
      </c>
      <c r="T125" t="s">
        <v>229</v>
      </c>
      <c r="U125" t="s">
        <v>81</v>
      </c>
    </row>
    <row r="126" spans="1:21">
      <c r="A126">
        <v>3125</v>
      </c>
      <c r="B126" t="s">
        <v>159</v>
      </c>
      <c r="C126" t="s">
        <v>139</v>
      </c>
      <c r="D126" s="7">
        <v>23897</v>
      </c>
      <c r="E126" s="7">
        <v>45272</v>
      </c>
      <c r="F126">
        <v>1001</v>
      </c>
      <c r="G126">
        <v>2002</v>
      </c>
      <c r="H126" t="s">
        <v>21</v>
      </c>
      <c r="I126" t="s">
        <v>72</v>
      </c>
      <c r="J126" s="7"/>
      <c r="K126" t="s">
        <v>68</v>
      </c>
      <c r="L126" s="7">
        <v>46212</v>
      </c>
      <c r="M126">
        <v>12</v>
      </c>
      <c r="N126">
        <v>20</v>
      </c>
      <c r="O126">
        <v>2</v>
      </c>
      <c r="P126">
        <v>30</v>
      </c>
      <c r="Q126">
        <v>90</v>
      </c>
      <c r="R126" t="s">
        <v>229</v>
      </c>
      <c r="S126" t="s">
        <v>229</v>
      </c>
      <c r="T126" t="s">
        <v>229</v>
      </c>
      <c r="U126" t="s">
        <v>67</v>
      </c>
    </row>
    <row r="127" spans="1:21">
      <c r="A127">
        <v>3126</v>
      </c>
      <c r="B127" t="s">
        <v>183</v>
      </c>
      <c r="C127" t="s">
        <v>176</v>
      </c>
      <c r="D127" s="7">
        <v>21470</v>
      </c>
      <c r="E127" s="7">
        <v>45791</v>
      </c>
      <c r="F127">
        <v>1003</v>
      </c>
      <c r="G127">
        <v>2008</v>
      </c>
      <c r="H127" t="s">
        <v>21</v>
      </c>
      <c r="I127" t="s">
        <v>67</v>
      </c>
      <c r="J127" s="7"/>
      <c r="K127" t="s">
        <v>68</v>
      </c>
      <c r="L127" s="7">
        <v>46166</v>
      </c>
      <c r="M127">
        <v>4</v>
      </c>
      <c r="N127">
        <v>8</v>
      </c>
      <c r="O127">
        <v>48</v>
      </c>
      <c r="P127">
        <v>30</v>
      </c>
      <c r="Q127">
        <v>90</v>
      </c>
      <c r="R127" t="s">
        <v>228</v>
      </c>
      <c r="S127" t="s">
        <v>229</v>
      </c>
      <c r="T127" t="s">
        <v>229</v>
      </c>
      <c r="U127" t="s">
        <v>72</v>
      </c>
    </row>
    <row r="128" spans="1:21">
      <c r="A128">
        <v>3127</v>
      </c>
      <c r="B128" t="s">
        <v>166</v>
      </c>
      <c r="C128" t="s">
        <v>138</v>
      </c>
      <c r="D128" s="7">
        <v>34828</v>
      </c>
      <c r="E128" s="7">
        <v>45192</v>
      </c>
      <c r="F128">
        <v>1005</v>
      </c>
      <c r="G128">
        <v>2014</v>
      </c>
      <c r="H128" t="s">
        <v>106</v>
      </c>
      <c r="I128" t="s">
        <v>72</v>
      </c>
      <c r="J128" s="7">
        <v>45831</v>
      </c>
      <c r="K128" t="s">
        <v>142</v>
      </c>
      <c r="L128" s="7">
        <v>45778</v>
      </c>
      <c r="M128">
        <v>4</v>
      </c>
      <c r="N128">
        <v>8</v>
      </c>
      <c r="O128">
        <v>436</v>
      </c>
      <c r="P128">
        <v>21</v>
      </c>
      <c r="Q128">
        <v>75</v>
      </c>
      <c r="R128" t="s">
        <v>229</v>
      </c>
      <c r="S128" t="s">
        <v>229</v>
      </c>
      <c r="T128" t="s">
        <v>229</v>
      </c>
      <c r="U128" t="s">
        <v>106</v>
      </c>
    </row>
    <row r="129" spans="1:21">
      <c r="A129">
        <v>3128</v>
      </c>
      <c r="B129" t="s">
        <v>179</v>
      </c>
      <c r="C129" t="s">
        <v>122</v>
      </c>
      <c r="D129" s="7">
        <v>33059</v>
      </c>
      <c r="E129" s="7">
        <v>45320</v>
      </c>
      <c r="F129">
        <v>1006</v>
      </c>
      <c r="G129">
        <v>2018</v>
      </c>
      <c r="H129" t="s">
        <v>106</v>
      </c>
      <c r="I129" t="s">
        <v>72</v>
      </c>
      <c r="J129" s="7">
        <v>46105</v>
      </c>
      <c r="K129" t="s">
        <v>112</v>
      </c>
      <c r="L129" s="7">
        <v>45985</v>
      </c>
      <c r="M129">
        <v>5</v>
      </c>
      <c r="N129">
        <v>10</v>
      </c>
      <c r="O129">
        <v>229</v>
      </c>
      <c r="P129">
        <v>30</v>
      </c>
      <c r="Q129">
        <v>90</v>
      </c>
      <c r="R129" t="s">
        <v>229</v>
      </c>
      <c r="S129" t="s">
        <v>229</v>
      </c>
      <c r="T129" t="s">
        <v>229</v>
      </c>
      <c r="U129" t="s">
        <v>106</v>
      </c>
    </row>
    <row r="130" spans="1:21">
      <c r="A130">
        <v>3129</v>
      </c>
      <c r="B130" t="s">
        <v>163</v>
      </c>
      <c r="C130" t="s">
        <v>139</v>
      </c>
      <c r="D130" s="7">
        <v>19787</v>
      </c>
      <c r="E130" s="7">
        <v>45213</v>
      </c>
      <c r="F130">
        <v>1001</v>
      </c>
      <c r="G130">
        <v>2003</v>
      </c>
      <c r="H130" t="s">
        <v>21</v>
      </c>
      <c r="I130" t="s">
        <v>67</v>
      </c>
      <c r="J130" s="7"/>
      <c r="K130" t="s">
        <v>68</v>
      </c>
      <c r="L130" s="7">
        <v>45615</v>
      </c>
      <c r="M130">
        <v>3</v>
      </c>
      <c r="N130">
        <v>6</v>
      </c>
      <c r="O130">
        <v>599</v>
      </c>
      <c r="P130">
        <v>30</v>
      </c>
      <c r="Q130">
        <v>90</v>
      </c>
      <c r="R130" t="s">
        <v>228</v>
      </c>
      <c r="S130" t="s">
        <v>229</v>
      </c>
      <c r="T130" t="s">
        <v>228</v>
      </c>
      <c r="U130" t="s">
        <v>227</v>
      </c>
    </row>
    <row r="131" spans="1:21">
      <c r="A131">
        <v>3130</v>
      </c>
      <c r="B131" t="s">
        <v>184</v>
      </c>
      <c r="C131" t="s">
        <v>176</v>
      </c>
      <c r="D131" s="7">
        <v>26840</v>
      </c>
      <c r="E131" s="7">
        <v>45962</v>
      </c>
      <c r="F131">
        <v>1001</v>
      </c>
      <c r="G131">
        <v>2003</v>
      </c>
      <c r="H131" t="s">
        <v>21</v>
      </c>
      <c r="I131" t="s">
        <v>67</v>
      </c>
      <c r="J131" s="7"/>
      <c r="K131" t="s">
        <v>68</v>
      </c>
      <c r="L131" s="7">
        <v>46069</v>
      </c>
      <c r="M131">
        <v>1</v>
      </c>
      <c r="N131">
        <v>5</v>
      </c>
      <c r="O131">
        <v>145</v>
      </c>
      <c r="P131">
        <v>30</v>
      </c>
      <c r="Q131">
        <v>90</v>
      </c>
      <c r="R131" t="s">
        <v>228</v>
      </c>
      <c r="S131" t="s">
        <v>229</v>
      </c>
      <c r="T131" t="s">
        <v>228</v>
      </c>
      <c r="U131" t="s">
        <v>227</v>
      </c>
    </row>
    <row r="132" spans="1:21">
      <c r="A132">
        <v>3131</v>
      </c>
      <c r="B132" t="s">
        <v>155</v>
      </c>
      <c r="C132" t="s">
        <v>131</v>
      </c>
      <c r="D132" s="7">
        <v>31374</v>
      </c>
      <c r="E132" s="7">
        <v>45612</v>
      </c>
      <c r="F132">
        <v>1002</v>
      </c>
      <c r="G132">
        <v>2005</v>
      </c>
      <c r="H132" t="s">
        <v>21</v>
      </c>
      <c r="I132" t="s">
        <v>72</v>
      </c>
      <c r="J132" s="7"/>
      <c r="K132" t="s">
        <v>68</v>
      </c>
      <c r="L132" s="7">
        <v>46065</v>
      </c>
      <c r="M132">
        <v>7</v>
      </c>
      <c r="N132">
        <v>13</v>
      </c>
      <c r="O132">
        <v>149</v>
      </c>
      <c r="P132">
        <v>14</v>
      </c>
      <c r="Q132">
        <v>60</v>
      </c>
      <c r="R132" t="s">
        <v>228</v>
      </c>
      <c r="S132" t="s">
        <v>229</v>
      </c>
      <c r="T132" t="s">
        <v>228</v>
      </c>
      <c r="U132" t="s">
        <v>227</v>
      </c>
    </row>
    <row r="133" spans="1:21">
      <c r="A133">
        <v>3132</v>
      </c>
      <c r="B133" t="s">
        <v>185</v>
      </c>
      <c r="C133" t="s">
        <v>136</v>
      </c>
      <c r="D133" s="7">
        <v>27205</v>
      </c>
      <c r="E133" s="7">
        <v>45138</v>
      </c>
      <c r="F133">
        <v>1002</v>
      </c>
      <c r="G133">
        <v>2005</v>
      </c>
      <c r="H133" t="s">
        <v>21</v>
      </c>
      <c r="I133" t="s">
        <v>67</v>
      </c>
      <c r="J133" s="7"/>
      <c r="K133" t="s">
        <v>68</v>
      </c>
      <c r="L133" s="7">
        <v>45918</v>
      </c>
      <c r="M133">
        <v>6</v>
      </c>
      <c r="N133">
        <v>8</v>
      </c>
      <c r="O133">
        <v>296</v>
      </c>
      <c r="P133">
        <v>14</v>
      </c>
      <c r="Q133">
        <v>60</v>
      </c>
      <c r="R133" t="s">
        <v>228</v>
      </c>
      <c r="S133" t="s">
        <v>229</v>
      </c>
      <c r="T133" t="s">
        <v>228</v>
      </c>
      <c r="U133" t="s">
        <v>227</v>
      </c>
    </row>
    <row r="134" spans="1:21">
      <c r="A134">
        <v>3133</v>
      </c>
      <c r="B134" t="s">
        <v>113</v>
      </c>
      <c r="C134" t="s">
        <v>150</v>
      </c>
      <c r="D134" s="7">
        <v>33313</v>
      </c>
      <c r="E134" s="7">
        <v>45826</v>
      </c>
      <c r="F134">
        <v>1004</v>
      </c>
      <c r="G134">
        <v>2012</v>
      </c>
      <c r="H134" t="s">
        <v>21</v>
      </c>
      <c r="I134" t="s">
        <v>67</v>
      </c>
      <c r="J134" s="7"/>
      <c r="K134" t="s">
        <v>68</v>
      </c>
      <c r="L134" s="7">
        <v>46076</v>
      </c>
      <c r="M134">
        <v>2</v>
      </c>
      <c r="N134">
        <v>4</v>
      </c>
      <c r="O134">
        <v>138</v>
      </c>
      <c r="P134">
        <v>14</v>
      </c>
      <c r="Q134">
        <v>45</v>
      </c>
      <c r="R134" t="s">
        <v>228</v>
      </c>
      <c r="S134" t="s">
        <v>229</v>
      </c>
      <c r="T134" t="s">
        <v>228</v>
      </c>
      <c r="U134" t="s">
        <v>227</v>
      </c>
    </row>
    <row r="135" spans="1:21">
      <c r="A135">
        <v>3134</v>
      </c>
      <c r="B135" t="s">
        <v>157</v>
      </c>
      <c r="C135" t="s">
        <v>169</v>
      </c>
      <c r="D135" s="7">
        <v>28738</v>
      </c>
      <c r="E135" s="7">
        <v>45526</v>
      </c>
      <c r="F135">
        <v>1006</v>
      </c>
      <c r="G135">
        <v>2018</v>
      </c>
      <c r="H135" t="s">
        <v>86</v>
      </c>
      <c r="I135" t="s">
        <v>72</v>
      </c>
      <c r="J135" s="7"/>
      <c r="K135" t="s">
        <v>68</v>
      </c>
      <c r="L135" s="7">
        <v>46019</v>
      </c>
      <c r="M135">
        <v>9</v>
      </c>
      <c r="N135">
        <v>20</v>
      </c>
      <c r="O135">
        <v>195</v>
      </c>
      <c r="P135">
        <v>30</v>
      </c>
      <c r="Q135">
        <v>90</v>
      </c>
      <c r="R135" t="s">
        <v>228</v>
      </c>
      <c r="S135" t="s">
        <v>229</v>
      </c>
      <c r="T135" t="s">
        <v>228</v>
      </c>
      <c r="U135" t="s">
        <v>227</v>
      </c>
    </row>
    <row r="136" spans="1:21">
      <c r="A136">
        <v>3135</v>
      </c>
      <c r="B136" t="s">
        <v>171</v>
      </c>
      <c r="C136" t="s">
        <v>80</v>
      </c>
      <c r="D136" s="7">
        <v>37674</v>
      </c>
      <c r="E136" s="7">
        <v>45724</v>
      </c>
      <c r="F136">
        <v>1004</v>
      </c>
      <c r="G136">
        <v>2011</v>
      </c>
      <c r="H136" t="s">
        <v>21</v>
      </c>
      <c r="I136" t="s">
        <v>72</v>
      </c>
      <c r="J136" s="7"/>
      <c r="K136" t="s">
        <v>68</v>
      </c>
      <c r="L136" s="7">
        <v>46200</v>
      </c>
      <c r="M136">
        <v>7</v>
      </c>
      <c r="N136">
        <v>14</v>
      </c>
      <c r="O136">
        <v>14</v>
      </c>
      <c r="P136">
        <v>14</v>
      </c>
      <c r="Q136">
        <v>45</v>
      </c>
      <c r="R136" t="s">
        <v>228</v>
      </c>
      <c r="S136" t="s">
        <v>229</v>
      </c>
      <c r="T136" t="s">
        <v>229</v>
      </c>
      <c r="U136" t="s">
        <v>72</v>
      </c>
    </row>
    <row r="137" spans="1:21">
      <c r="A137">
        <v>3136</v>
      </c>
      <c r="B137" t="s">
        <v>161</v>
      </c>
      <c r="C137" t="s">
        <v>80</v>
      </c>
      <c r="D137" s="7">
        <v>20446</v>
      </c>
      <c r="E137" s="7">
        <v>46136</v>
      </c>
      <c r="F137">
        <v>1001</v>
      </c>
      <c r="G137">
        <v>2003</v>
      </c>
      <c r="H137" t="s">
        <v>21</v>
      </c>
      <c r="I137" t="s">
        <v>72</v>
      </c>
      <c r="J137" s="7"/>
      <c r="K137" t="s">
        <v>68</v>
      </c>
      <c r="L137" s="7">
        <v>46213</v>
      </c>
      <c r="M137">
        <v>3</v>
      </c>
      <c r="N137">
        <v>8</v>
      </c>
      <c r="O137">
        <v>1</v>
      </c>
      <c r="P137">
        <v>30</v>
      </c>
      <c r="Q137">
        <v>90</v>
      </c>
      <c r="R137" t="s">
        <v>229</v>
      </c>
      <c r="S137" t="s">
        <v>229</v>
      </c>
      <c r="T137" t="s">
        <v>229</v>
      </c>
      <c r="U137" t="s">
        <v>67</v>
      </c>
    </row>
    <row r="138" spans="1:21">
      <c r="A138">
        <v>3137</v>
      </c>
      <c r="B138" t="s">
        <v>96</v>
      </c>
      <c r="C138" t="s">
        <v>66</v>
      </c>
      <c r="D138" s="7">
        <v>27051</v>
      </c>
      <c r="E138" s="7">
        <v>45399</v>
      </c>
      <c r="F138">
        <v>1002</v>
      </c>
      <c r="G138">
        <v>2006</v>
      </c>
      <c r="H138" t="s">
        <v>21</v>
      </c>
      <c r="I138" t="s">
        <v>67</v>
      </c>
      <c r="J138" s="7"/>
      <c r="K138" t="s">
        <v>68</v>
      </c>
      <c r="L138" s="7">
        <v>46033</v>
      </c>
      <c r="M138">
        <v>9</v>
      </c>
      <c r="N138">
        <v>15</v>
      </c>
      <c r="O138">
        <v>181</v>
      </c>
      <c r="P138">
        <v>14</v>
      </c>
      <c r="Q138">
        <v>60</v>
      </c>
      <c r="R138" t="s">
        <v>228</v>
      </c>
      <c r="S138" t="s">
        <v>229</v>
      </c>
      <c r="T138" t="s">
        <v>228</v>
      </c>
      <c r="U138" t="s">
        <v>227</v>
      </c>
    </row>
    <row r="139" spans="1:21">
      <c r="A139">
        <v>3138</v>
      </c>
      <c r="B139" t="s">
        <v>107</v>
      </c>
      <c r="C139" t="s">
        <v>93</v>
      </c>
      <c r="D139" s="7">
        <v>37830</v>
      </c>
      <c r="E139" s="7">
        <v>45866</v>
      </c>
      <c r="F139">
        <v>1006</v>
      </c>
      <c r="G139">
        <v>2017</v>
      </c>
      <c r="H139" t="s">
        <v>21</v>
      </c>
      <c r="I139" t="s">
        <v>67</v>
      </c>
      <c r="J139" s="7"/>
      <c r="K139" t="s">
        <v>68</v>
      </c>
      <c r="L139" s="7">
        <v>46185</v>
      </c>
      <c r="M139">
        <v>4</v>
      </c>
      <c r="N139">
        <v>7</v>
      </c>
      <c r="O139">
        <v>29</v>
      </c>
      <c r="P139">
        <v>30</v>
      </c>
      <c r="Q139">
        <v>90</v>
      </c>
      <c r="R139" t="s">
        <v>229</v>
      </c>
      <c r="S139" t="s">
        <v>229</v>
      </c>
      <c r="T139" t="s">
        <v>229</v>
      </c>
      <c r="U139" t="s">
        <v>67</v>
      </c>
    </row>
    <row r="140" spans="1:21">
      <c r="A140">
        <v>3139</v>
      </c>
      <c r="B140" t="s">
        <v>168</v>
      </c>
      <c r="C140" t="s">
        <v>175</v>
      </c>
      <c r="D140" s="7">
        <v>25418</v>
      </c>
      <c r="E140" s="7">
        <v>45389</v>
      </c>
      <c r="F140">
        <v>1001</v>
      </c>
      <c r="G140">
        <v>2003</v>
      </c>
      <c r="H140" t="s">
        <v>21</v>
      </c>
      <c r="I140" t="s">
        <v>67</v>
      </c>
      <c r="J140" s="7"/>
      <c r="K140" t="s">
        <v>68</v>
      </c>
      <c r="L140" s="7">
        <v>46207</v>
      </c>
      <c r="M140">
        <v>5</v>
      </c>
      <c r="N140">
        <v>9</v>
      </c>
      <c r="O140">
        <v>7</v>
      </c>
      <c r="P140">
        <v>30</v>
      </c>
      <c r="Q140">
        <v>90</v>
      </c>
      <c r="R140" t="s">
        <v>229</v>
      </c>
      <c r="S140" t="s">
        <v>229</v>
      </c>
      <c r="T140" t="s">
        <v>229</v>
      </c>
      <c r="U140" t="s">
        <v>67</v>
      </c>
    </row>
    <row r="141" spans="1:21">
      <c r="A141">
        <v>3140</v>
      </c>
      <c r="B141" t="s">
        <v>89</v>
      </c>
      <c r="C141" t="s">
        <v>144</v>
      </c>
      <c r="D141" s="7">
        <v>24230</v>
      </c>
      <c r="E141" s="7">
        <v>45645</v>
      </c>
      <c r="F141">
        <v>1003</v>
      </c>
      <c r="G141">
        <v>2009</v>
      </c>
      <c r="H141" t="s">
        <v>21</v>
      </c>
      <c r="I141" t="s">
        <v>67</v>
      </c>
      <c r="J141" s="7"/>
      <c r="K141" t="s">
        <v>68</v>
      </c>
      <c r="L141" s="7">
        <v>46115</v>
      </c>
      <c r="M141">
        <v>5</v>
      </c>
      <c r="N141">
        <v>10</v>
      </c>
      <c r="O141">
        <v>99</v>
      </c>
      <c r="P141">
        <v>30</v>
      </c>
      <c r="Q141">
        <v>90</v>
      </c>
      <c r="R141" t="s">
        <v>228</v>
      </c>
      <c r="S141" t="s">
        <v>229</v>
      </c>
      <c r="T141" t="s">
        <v>228</v>
      </c>
      <c r="U141" t="s">
        <v>227</v>
      </c>
    </row>
    <row r="142" spans="1:21">
      <c r="A142">
        <v>3141</v>
      </c>
      <c r="B142" t="s">
        <v>115</v>
      </c>
      <c r="C142" t="s">
        <v>181</v>
      </c>
      <c r="D142" s="7">
        <v>22612</v>
      </c>
      <c r="E142" s="7">
        <v>46078</v>
      </c>
      <c r="F142">
        <v>1004</v>
      </c>
      <c r="G142">
        <v>2012</v>
      </c>
      <c r="H142" t="s">
        <v>86</v>
      </c>
      <c r="I142" t="s">
        <v>67</v>
      </c>
      <c r="J142" s="7"/>
      <c r="K142" t="s">
        <v>68</v>
      </c>
      <c r="L142" s="7">
        <v>46200</v>
      </c>
      <c r="M142">
        <v>3</v>
      </c>
      <c r="N142">
        <v>7</v>
      </c>
      <c r="O142">
        <v>14</v>
      </c>
      <c r="P142">
        <v>14</v>
      </c>
      <c r="Q142">
        <v>45</v>
      </c>
      <c r="R142" t="s">
        <v>228</v>
      </c>
      <c r="S142" t="s">
        <v>229</v>
      </c>
      <c r="T142" t="s">
        <v>229</v>
      </c>
      <c r="U142" t="s">
        <v>72</v>
      </c>
    </row>
    <row r="143" spans="1:21">
      <c r="A143">
        <v>3142</v>
      </c>
      <c r="B143" t="s">
        <v>186</v>
      </c>
      <c r="C143" t="s">
        <v>99</v>
      </c>
      <c r="D143" s="7">
        <v>30824</v>
      </c>
      <c r="E143" s="7">
        <v>45303</v>
      </c>
      <c r="F143">
        <v>1002</v>
      </c>
      <c r="G143">
        <v>2006</v>
      </c>
      <c r="H143" t="s">
        <v>106</v>
      </c>
      <c r="I143" t="s">
        <v>81</v>
      </c>
      <c r="J143" s="7">
        <v>46119</v>
      </c>
      <c r="K143" t="s">
        <v>121</v>
      </c>
      <c r="L143" s="7">
        <v>46098</v>
      </c>
      <c r="M143">
        <v>11</v>
      </c>
      <c r="N143">
        <v>18</v>
      </c>
      <c r="O143">
        <v>116</v>
      </c>
      <c r="P143">
        <v>14</v>
      </c>
      <c r="Q143">
        <v>60</v>
      </c>
      <c r="R143" t="s">
        <v>229</v>
      </c>
      <c r="S143" t="s">
        <v>229</v>
      </c>
      <c r="T143" t="s">
        <v>229</v>
      </c>
      <c r="U143" t="s">
        <v>106</v>
      </c>
    </row>
    <row r="144" spans="1:21">
      <c r="A144">
        <v>3143</v>
      </c>
      <c r="B144" t="s">
        <v>187</v>
      </c>
      <c r="C144" t="s">
        <v>138</v>
      </c>
      <c r="D144" s="7">
        <v>27429</v>
      </c>
      <c r="E144" s="7">
        <v>45899</v>
      </c>
      <c r="F144">
        <v>1005</v>
      </c>
      <c r="G144">
        <v>2013</v>
      </c>
      <c r="H144" t="s">
        <v>21</v>
      </c>
      <c r="I144" t="s">
        <v>72</v>
      </c>
      <c r="J144" s="7"/>
      <c r="K144" t="s">
        <v>68</v>
      </c>
      <c r="L144" s="7">
        <v>46197</v>
      </c>
      <c r="M144">
        <v>3</v>
      </c>
      <c r="N144">
        <v>7</v>
      </c>
      <c r="O144">
        <v>17</v>
      </c>
      <c r="P144">
        <v>21</v>
      </c>
      <c r="Q144">
        <v>75</v>
      </c>
      <c r="R144" t="s">
        <v>229</v>
      </c>
      <c r="S144" t="s">
        <v>229</v>
      </c>
      <c r="T144" t="s">
        <v>229</v>
      </c>
      <c r="U144" t="s">
        <v>67</v>
      </c>
    </row>
    <row r="145" spans="1:21">
      <c r="A145">
        <v>3144</v>
      </c>
      <c r="B145" t="s">
        <v>89</v>
      </c>
      <c r="C145" t="s">
        <v>133</v>
      </c>
      <c r="D145" s="7">
        <v>39140</v>
      </c>
      <c r="E145" s="7">
        <v>45790</v>
      </c>
      <c r="F145">
        <v>1003</v>
      </c>
      <c r="G145">
        <v>2007</v>
      </c>
      <c r="H145" t="s">
        <v>21</v>
      </c>
      <c r="I145" t="s">
        <v>72</v>
      </c>
      <c r="J145" s="7"/>
      <c r="K145" t="s">
        <v>68</v>
      </c>
      <c r="L145" s="7">
        <v>46210</v>
      </c>
      <c r="M145">
        <v>5</v>
      </c>
      <c r="N145">
        <v>10</v>
      </c>
      <c r="O145">
        <v>4</v>
      </c>
      <c r="P145">
        <v>30</v>
      </c>
      <c r="Q145">
        <v>90</v>
      </c>
      <c r="R145" t="s">
        <v>229</v>
      </c>
      <c r="S145" t="s">
        <v>229</v>
      </c>
      <c r="T145" t="s">
        <v>229</v>
      </c>
      <c r="U145" t="s">
        <v>67</v>
      </c>
    </row>
    <row r="146" spans="1:21">
      <c r="A146">
        <v>3145</v>
      </c>
      <c r="B146" t="s">
        <v>128</v>
      </c>
      <c r="C146" t="s">
        <v>93</v>
      </c>
      <c r="D146" s="7">
        <v>28741</v>
      </c>
      <c r="E146" s="7">
        <v>45955</v>
      </c>
      <c r="F146">
        <v>1002</v>
      </c>
      <c r="G146">
        <v>2005</v>
      </c>
      <c r="H146" t="s">
        <v>21</v>
      </c>
      <c r="I146" t="s">
        <v>72</v>
      </c>
      <c r="J146" s="7"/>
      <c r="K146" t="s">
        <v>68</v>
      </c>
      <c r="L146" s="7">
        <v>46211</v>
      </c>
      <c r="M146">
        <v>6</v>
      </c>
      <c r="N146">
        <v>15</v>
      </c>
      <c r="O146">
        <v>3</v>
      </c>
      <c r="P146">
        <v>14</v>
      </c>
      <c r="Q146">
        <v>60</v>
      </c>
      <c r="R146" t="s">
        <v>229</v>
      </c>
      <c r="S146" t="s">
        <v>229</v>
      </c>
      <c r="T146" t="s">
        <v>229</v>
      </c>
      <c r="U146" t="s">
        <v>67</v>
      </c>
    </row>
    <row r="147" spans="1:21">
      <c r="A147">
        <v>3146</v>
      </c>
      <c r="B147" t="s">
        <v>104</v>
      </c>
      <c r="C147" t="s">
        <v>175</v>
      </c>
      <c r="D147" s="7">
        <v>22023</v>
      </c>
      <c r="E147" s="7">
        <v>45599</v>
      </c>
      <c r="F147">
        <v>1001</v>
      </c>
      <c r="G147">
        <v>2002</v>
      </c>
      <c r="H147" t="s">
        <v>21</v>
      </c>
      <c r="I147" t="s">
        <v>72</v>
      </c>
      <c r="J147" s="7"/>
      <c r="K147" t="s">
        <v>68</v>
      </c>
      <c r="L147" s="7">
        <v>46102</v>
      </c>
      <c r="M147">
        <v>8</v>
      </c>
      <c r="N147">
        <v>15</v>
      </c>
      <c r="O147">
        <v>112</v>
      </c>
      <c r="P147">
        <v>30</v>
      </c>
      <c r="Q147">
        <v>90</v>
      </c>
      <c r="R147" t="s">
        <v>228</v>
      </c>
      <c r="S147" t="s">
        <v>229</v>
      </c>
      <c r="T147" t="s">
        <v>228</v>
      </c>
      <c r="U147" t="s">
        <v>227</v>
      </c>
    </row>
    <row r="148" spans="1:21">
      <c r="A148">
        <v>3147</v>
      </c>
      <c r="B148" t="s">
        <v>113</v>
      </c>
      <c r="C148" t="s">
        <v>141</v>
      </c>
      <c r="D148" s="7">
        <v>36540</v>
      </c>
      <c r="E148" s="7">
        <v>45977</v>
      </c>
      <c r="F148">
        <v>1002</v>
      </c>
      <c r="G148">
        <v>2006</v>
      </c>
      <c r="H148" t="s">
        <v>21</v>
      </c>
      <c r="I148" t="s">
        <v>72</v>
      </c>
      <c r="J148" s="7"/>
      <c r="K148" t="s">
        <v>68</v>
      </c>
      <c r="L148" s="7">
        <v>46174</v>
      </c>
      <c r="M148">
        <v>4</v>
      </c>
      <c r="N148">
        <v>8</v>
      </c>
      <c r="O148">
        <v>40</v>
      </c>
      <c r="P148">
        <v>14</v>
      </c>
      <c r="Q148">
        <v>60</v>
      </c>
      <c r="R148" t="s">
        <v>228</v>
      </c>
      <c r="S148" t="s">
        <v>229</v>
      </c>
      <c r="T148" t="s">
        <v>229</v>
      </c>
      <c r="U148" t="s">
        <v>72</v>
      </c>
    </row>
    <row r="149" spans="1:21">
      <c r="A149">
        <v>3148</v>
      </c>
      <c r="B149" t="s">
        <v>182</v>
      </c>
      <c r="C149" t="s">
        <v>127</v>
      </c>
      <c r="D149" s="7">
        <v>34873</v>
      </c>
      <c r="E149" s="7">
        <v>45954</v>
      </c>
      <c r="F149">
        <v>1006</v>
      </c>
      <c r="G149">
        <v>2017</v>
      </c>
      <c r="H149" t="s">
        <v>106</v>
      </c>
      <c r="I149" t="s">
        <v>72</v>
      </c>
      <c r="J149" s="7">
        <v>46201</v>
      </c>
      <c r="K149" t="s">
        <v>76</v>
      </c>
      <c r="L149" s="7">
        <v>46113</v>
      </c>
      <c r="M149">
        <v>6</v>
      </c>
      <c r="N149">
        <v>14</v>
      </c>
      <c r="O149">
        <v>101</v>
      </c>
      <c r="P149">
        <v>30</v>
      </c>
      <c r="Q149">
        <v>90</v>
      </c>
      <c r="R149" t="s">
        <v>229</v>
      </c>
      <c r="S149" t="s">
        <v>229</v>
      </c>
      <c r="T149" t="s">
        <v>229</v>
      </c>
      <c r="U149" t="s">
        <v>106</v>
      </c>
    </row>
    <row r="150" spans="1:21">
      <c r="A150">
        <v>3149</v>
      </c>
      <c r="B150" t="s">
        <v>87</v>
      </c>
      <c r="C150" t="s">
        <v>111</v>
      </c>
      <c r="D150" s="7">
        <v>30723</v>
      </c>
      <c r="E150" s="7">
        <v>45322</v>
      </c>
      <c r="F150">
        <v>1003</v>
      </c>
      <c r="G150">
        <v>2007</v>
      </c>
      <c r="H150" t="s">
        <v>21</v>
      </c>
      <c r="I150" t="s">
        <v>81</v>
      </c>
      <c r="J150" s="7"/>
      <c r="K150" t="s">
        <v>68</v>
      </c>
      <c r="L150" s="7">
        <v>45602</v>
      </c>
      <c r="M150">
        <v>1</v>
      </c>
      <c r="N150">
        <v>7</v>
      </c>
      <c r="O150">
        <v>612</v>
      </c>
      <c r="P150">
        <v>30</v>
      </c>
      <c r="Q150">
        <v>90</v>
      </c>
      <c r="R150" t="s">
        <v>228</v>
      </c>
      <c r="S150" t="s">
        <v>229</v>
      </c>
      <c r="T150" t="s">
        <v>228</v>
      </c>
      <c r="U150" t="s">
        <v>227</v>
      </c>
    </row>
    <row r="151" spans="1:21">
      <c r="A151">
        <v>3150</v>
      </c>
      <c r="B151" t="s">
        <v>183</v>
      </c>
      <c r="C151" t="s">
        <v>144</v>
      </c>
      <c r="D151" s="7">
        <v>25058</v>
      </c>
      <c r="E151" s="7">
        <v>45369</v>
      </c>
      <c r="F151">
        <v>1005</v>
      </c>
      <c r="G151">
        <v>2015</v>
      </c>
      <c r="H151" t="s">
        <v>21</v>
      </c>
      <c r="I151" t="s">
        <v>67</v>
      </c>
      <c r="J151" s="7"/>
      <c r="K151" t="s">
        <v>68</v>
      </c>
      <c r="L151" s="7">
        <v>46185</v>
      </c>
      <c r="M151">
        <v>9</v>
      </c>
      <c r="N151">
        <v>17</v>
      </c>
      <c r="O151">
        <v>29</v>
      </c>
      <c r="P151">
        <v>21</v>
      </c>
      <c r="Q151">
        <v>75</v>
      </c>
      <c r="R151" t="s">
        <v>228</v>
      </c>
      <c r="S151" t="s">
        <v>229</v>
      </c>
      <c r="T151" t="s">
        <v>229</v>
      </c>
      <c r="U151" t="s">
        <v>72</v>
      </c>
    </row>
    <row r="152" spans="1:21">
      <c r="A152">
        <v>3151</v>
      </c>
      <c r="B152" t="s">
        <v>117</v>
      </c>
      <c r="C152" t="s">
        <v>139</v>
      </c>
      <c r="D152" s="7">
        <v>38406</v>
      </c>
      <c r="E152" s="7">
        <v>45162</v>
      </c>
      <c r="F152">
        <v>1004</v>
      </c>
      <c r="G152">
        <v>2011</v>
      </c>
      <c r="H152" t="s">
        <v>21</v>
      </c>
      <c r="I152" t="s">
        <v>72</v>
      </c>
      <c r="J152" s="7"/>
      <c r="K152" t="s">
        <v>68</v>
      </c>
      <c r="L152" s="7">
        <v>46079</v>
      </c>
      <c r="M152">
        <v>8</v>
      </c>
      <c r="N152">
        <v>18</v>
      </c>
      <c r="O152">
        <v>135</v>
      </c>
      <c r="P152">
        <v>14</v>
      </c>
      <c r="Q152">
        <v>45</v>
      </c>
      <c r="R152" t="s">
        <v>228</v>
      </c>
      <c r="S152" t="s">
        <v>229</v>
      </c>
      <c r="T152" t="s">
        <v>228</v>
      </c>
      <c r="U152" t="s">
        <v>227</v>
      </c>
    </row>
    <row r="153" spans="1:21">
      <c r="A153">
        <v>3152</v>
      </c>
      <c r="B153" t="s">
        <v>188</v>
      </c>
      <c r="C153" t="s">
        <v>131</v>
      </c>
      <c r="D153" s="7">
        <v>25563</v>
      </c>
      <c r="E153" s="7">
        <v>45259</v>
      </c>
      <c r="F153">
        <v>1003</v>
      </c>
      <c r="G153">
        <v>2007</v>
      </c>
      <c r="H153" t="s">
        <v>106</v>
      </c>
      <c r="I153" t="s">
        <v>72</v>
      </c>
      <c r="J153" s="7">
        <v>46115</v>
      </c>
      <c r="K153" t="s">
        <v>149</v>
      </c>
      <c r="L153" s="7">
        <v>46074</v>
      </c>
      <c r="M153">
        <v>3</v>
      </c>
      <c r="N153">
        <v>12</v>
      </c>
      <c r="O153">
        <v>140</v>
      </c>
      <c r="P153">
        <v>30</v>
      </c>
      <c r="Q153">
        <v>90</v>
      </c>
      <c r="R153" t="s">
        <v>229</v>
      </c>
      <c r="S153" t="s">
        <v>229</v>
      </c>
      <c r="T153" t="s">
        <v>229</v>
      </c>
      <c r="U153" t="s">
        <v>106</v>
      </c>
    </row>
    <row r="154" spans="1:21">
      <c r="A154">
        <v>3153</v>
      </c>
      <c r="B154" t="s">
        <v>170</v>
      </c>
      <c r="C154" t="s">
        <v>169</v>
      </c>
      <c r="D154" s="7">
        <v>38368</v>
      </c>
      <c r="E154" s="7">
        <v>45124</v>
      </c>
      <c r="F154">
        <v>1002</v>
      </c>
      <c r="G154">
        <v>2005</v>
      </c>
      <c r="H154" t="s">
        <v>21</v>
      </c>
      <c r="I154" t="s">
        <v>67</v>
      </c>
      <c r="J154" s="7"/>
      <c r="K154" t="s">
        <v>68</v>
      </c>
      <c r="L154" s="7">
        <v>46105</v>
      </c>
      <c r="M154">
        <v>5</v>
      </c>
      <c r="N154">
        <v>8</v>
      </c>
      <c r="O154">
        <v>109</v>
      </c>
      <c r="P154">
        <v>14</v>
      </c>
      <c r="Q154">
        <v>60</v>
      </c>
      <c r="R154" t="s">
        <v>228</v>
      </c>
      <c r="S154" t="s">
        <v>229</v>
      </c>
      <c r="T154" t="s">
        <v>228</v>
      </c>
      <c r="U154" t="s">
        <v>227</v>
      </c>
    </row>
    <row r="155" spans="1:21">
      <c r="A155">
        <v>3154</v>
      </c>
      <c r="B155" t="s">
        <v>119</v>
      </c>
      <c r="C155" t="s">
        <v>160</v>
      </c>
      <c r="D155" s="7">
        <v>22441</v>
      </c>
      <c r="E155" s="7">
        <v>45171</v>
      </c>
      <c r="F155">
        <v>1002</v>
      </c>
      <c r="G155">
        <v>2005</v>
      </c>
      <c r="H155" t="s">
        <v>21</v>
      </c>
      <c r="I155" t="s">
        <v>72</v>
      </c>
      <c r="J155" s="7"/>
      <c r="K155" t="s">
        <v>68</v>
      </c>
      <c r="L155" s="7">
        <v>46120</v>
      </c>
      <c r="M155">
        <v>10</v>
      </c>
      <c r="N155">
        <v>17</v>
      </c>
      <c r="O155">
        <v>94</v>
      </c>
      <c r="P155">
        <v>14</v>
      </c>
      <c r="Q155">
        <v>60</v>
      </c>
      <c r="R155" t="s">
        <v>228</v>
      </c>
      <c r="S155" t="s">
        <v>229</v>
      </c>
      <c r="T155" t="s">
        <v>228</v>
      </c>
      <c r="U155" t="s">
        <v>227</v>
      </c>
    </row>
    <row r="156" spans="1:21">
      <c r="A156">
        <v>3155</v>
      </c>
      <c r="B156" t="s">
        <v>119</v>
      </c>
      <c r="C156" t="s">
        <v>141</v>
      </c>
      <c r="D156" s="7">
        <v>27534</v>
      </c>
      <c r="E156" s="7">
        <v>45226</v>
      </c>
      <c r="F156">
        <v>1003</v>
      </c>
      <c r="G156">
        <v>2007</v>
      </c>
      <c r="H156" t="s">
        <v>21</v>
      </c>
      <c r="I156" t="s">
        <v>67</v>
      </c>
      <c r="J156" s="7"/>
      <c r="K156" t="s">
        <v>68</v>
      </c>
      <c r="L156" s="7">
        <v>46029</v>
      </c>
      <c r="M156">
        <v>7</v>
      </c>
      <c r="N156">
        <v>13</v>
      </c>
      <c r="O156">
        <v>185</v>
      </c>
      <c r="P156">
        <v>30</v>
      </c>
      <c r="Q156">
        <v>90</v>
      </c>
      <c r="R156" t="s">
        <v>228</v>
      </c>
      <c r="S156" t="s">
        <v>229</v>
      </c>
      <c r="T156" t="s">
        <v>228</v>
      </c>
      <c r="U156" t="s">
        <v>227</v>
      </c>
    </row>
    <row r="157" spans="1:21">
      <c r="A157">
        <v>3156</v>
      </c>
      <c r="B157" t="s">
        <v>113</v>
      </c>
      <c r="C157" t="s">
        <v>66</v>
      </c>
      <c r="D157" s="7">
        <v>30702</v>
      </c>
      <c r="E157" s="7">
        <v>46170</v>
      </c>
      <c r="F157">
        <v>1004</v>
      </c>
      <c r="G157">
        <v>2011</v>
      </c>
      <c r="H157" t="s">
        <v>86</v>
      </c>
      <c r="I157" t="s">
        <v>72</v>
      </c>
      <c r="J157" s="7"/>
      <c r="K157" t="s">
        <v>68</v>
      </c>
      <c r="L157" s="7">
        <v>46208</v>
      </c>
      <c r="M157">
        <v>7</v>
      </c>
      <c r="N157">
        <v>16</v>
      </c>
      <c r="O157">
        <v>6</v>
      </c>
      <c r="P157">
        <v>14</v>
      </c>
      <c r="Q157">
        <v>45</v>
      </c>
      <c r="R157" t="s">
        <v>229</v>
      </c>
      <c r="S157" t="s">
        <v>229</v>
      </c>
      <c r="T157" t="s">
        <v>229</v>
      </c>
      <c r="U157" t="s">
        <v>67</v>
      </c>
    </row>
    <row r="158" spans="1:21">
      <c r="A158">
        <v>3157</v>
      </c>
      <c r="B158" t="s">
        <v>146</v>
      </c>
      <c r="C158" t="s">
        <v>189</v>
      </c>
      <c r="D158" s="7">
        <v>35925</v>
      </c>
      <c r="E158" s="7">
        <v>45736</v>
      </c>
      <c r="F158">
        <v>1004</v>
      </c>
      <c r="G158">
        <v>2011</v>
      </c>
      <c r="H158" t="s">
        <v>106</v>
      </c>
      <c r="I158" t="s">
        <v>67</v>
      </c>
      <c r="J158" s="7">
        <v>45977</v>
      </c>
      <c r="K158" t="s">
        <v>112</v>
      </c>
      <c r="L158" s="7">
        <v>45975</v>
      </c>
      <c r="M158">
        <v>4</v>
      </c>
      <c r="N158">
        <v>6</v>
      </c>
      <c r="O158">
        <v>239</v>
      </c>
      <c r="P158">
        <v>14</v>
      </c>
      <c r="Q158">
        <v>45</v>
      </c>
      <c r="R158" t="s">
        <v>229</v>
      </c>
      <c r="S158" t="s">
        <v>229</v>
      </c>
      <c r="T158" t="s">
        <v>229</v>
      </c>
      <c r="U158" t="s">
        <v>106</v>
      </c>
    </row>
    <row r="159" spans="1:21">
      <c r="A159">
        <v>3158</v>
      </c>
      <c r="B159" t="s">
        <v>185</v>
      </c>
      <c r="C159" t="s">
        <v>190</v>
      </c>
      <c r="D159" s="7">
        <v>33373</v>
      </c>
      <c r="E159" s="7">
        <v>45269</v>
      </c>
      <c r="F159">
        <v>1004</v>
      </c>
      <c r="G159">
        <v>2012</v>
      </c>
      <c r="H159" t="s">
        <v>21</v>
      </c>
      <c r="I159" t="s">
        <v>67</v>
      </c>
      <c r="J159" s="7"/>
      <c r="K159" t="s">
        <v>68</v>
      </c>
      <c r="L159" s="7">
        <v>45852</v>
      </c>
      <c r="M159">
        <v>4</v>
      </c>
      <c r="N159">
        <v>7</v>
      </c>
      <c r="O159">
        <v>362</v>
      </c>
      <c r="P159">
        <v>14</v>
      </c>
      <c r="Q159">
        <v>45</v>
      </c>
      <c r="R159" t="s">
        <v>228</v>
      </c>
      <c r="S159" t="s">
        <v>229</v>
      </c>
      <c r="T159" t="s">
        <v>228</v>
      </c>
      <c r="U159" t="s">
        <v>227</v>
      </c>
    </row>
    <row r="160" spans="1:21">
      <c r="A160">
        <v>3159</v>
      </c>
      <c r="B160" t="s">
        <v>157</v>
      </c>
      <c r="C160" t="s">
        <v>173</v>
      </c>
      <c r="D160" s="7">
        <v>39296</v>
      </c>
      <c r="E160" s="7">
        <v>45784</v>
      </c>
      <c r="F160">
        <v>1003</v>
      </c>
      <c r="G160">
        <v>2009</v>
      </c>
      <c r="H160" t="s">
        <v>21</v>
      </c>
      <c r="I160" t="s">
        <v>67</v>
      </c>
      <c r="J160" s="7"/>
      <c r="K160" t="s">
        <v>68</v>
      </c>
      <c r="L160" s="7">
        <v>46131</v>
      </c>
      <c r="M160">
        <v>6</v>
      </c>
      <c r="N160">
        <v>16</v>
      </c>
      <c r="O160">
        <v>83</v>
      </c>
      <c r="P160">
        <v>30</v>
      </c>
      <c r="Q160">
        <v>90</v>
      </c>
      <c r="R160" t="s">
        <v>228</v>
      </c>
      <c r="S160" t="s">
        <v>228</v>
      </c>
      <c r="T160" t="s">
        <v>229</v>
      </c>
      <c r="U160" t="s">
        <v>81</v>
      </c>
    </row>
    <row r="161" spans="1:21">
      <c r="A161">
        <v>3160</v>
      </c>
      <c r="B161" t="s">
        <v>183</v>
      </c>
      <c r="C161" t="s">
        <v>100</v>
      </c>
      <c r="D161" s="7">
        <v>22088</v>
      </c>
      <c r="E161" s="7">
        <v>45353</v>
      </c>
      <c r="F161">
        <v>1005</v>
      </c>
      <c r="G161">
        <v>2014</v>
      </c>
      <c r="H161" t="s">
        <v>21</v>
      </c>
      <c r="I161" t="s">
        <v>72</v>
      </c>
      <c r="J161" s="7"/>
      <c r="K161" t="s">
        <v>68</v>
      </c>
      <c r="L161" s="7">
        <v>45792</v>
      </c>
      <c r="M161">
        <v>5</v>
      </c>
      <c r="N161">
        <v>6</v>
      </c>
      <c r="O161">
        <v>422</v>
      </c>
      <c r="P161">
        <v>21</v>
      </c>
      <c r="Q161">
        <v>75</v>
      </c>
      <c r="R161" t="s">
        <v>228</v>
      </c>
      <c r="S161" t="s">
        <v>229</v>
      </c>
      <c r="T161" t="s">
        <v>228</v>
      </c>
      <c r="U161" t="s">
        <v>227</v>
      </c>
    </row>
    <row r="162" spans="1:21">
      <c r="A162">
        <v>3161</v>
      </c>
      <c r="B162" t="s">
        <v>187</v>
      </c>
      <c r="C162" t="s">
        <v>162</v>
      </c>
      <c r="D162" s="7">
        <v>32398</v>
      </c>
      <c r="E162" s="7">
        <v>45813</v>
      </c>
      <c r="F162">
        <v>1006</v>
      </c>
      <c r="G162">
        <v>2017</v>
      </c>
      <c r="H162" t="s">
        <v>21</v>
      </c>
      <c r="I162" t="s">
        <v>81</v>
      </c>
      <c r="J162" s="7"/>
      <c r="K162" t="s">
        <v>68</v>
      </c>
      <c r="L162" s="7">
        <v>46206</v>
      </c>
      <c r="M162">
        <v>6</v>
      </c>
      <c r="N162">
        <v>11</v>
      </c>
      <c r="O162">
        <v>8</v>
      </c>
      <c r="P162">
        <v>30</v>
      </c>
      <c r="Q162">
        <v>90</v>
      </c>
      <c r="R162" t="s">
        <v>229</v>
      </c>
      <c r="S162" t="s">
        <v>229</v>
      </c>
      <c r="T162" t="s">
        <v>229</v>
      </c>
      <c r="U162" t="s">
        <v>67</v>
      </c>
    </row>
    <row r="163" spans="1:21">
      <c r="A163">
        <v>3162</v>
      </c>
      <c r="B163" t="s">
        <v>94</v>
      </c>
      <c r="C163" t="s">
        <v>181</v>
      </c>
      <c r="D163" s="7">
        <v>29079</v>
      </c>
      <c r="E163" s="7">
        <v>45641</v>
      </c>
      <c r="F163">
        <v>1004</v>
      </c>
      <c r="G163">
        <v>2012</v>
      </c>
      <c r="H163" t="s">
        <v>86</v>
      </c>
      <c r="I163" t="s">
        <v>67</v>
      </c>
      <c r="J163" s="7"/>
      <c r="K163" t="s">
        <v>68</v>
      </c>
      <c r="L163" s="7">
        <v>46155</v>
      </c>
      <c r="M163">
        <v>6</v>
      </c>
      <c r="N163">
        <v>11</v>
      </c>
      <c r="O163">
        <v>59</v>
      </c>
      <c r="P163">
        <v>14</v>
      </c>
      <c r="Q163">
        <v>45</v>
      </c>
      <c r="R163" t="s">
        <v>228</v>
      </c>
      <c r="S163" t="s">
        <v>229</v>
      </c>
      <c r="T163" t="s">
        <v>228</v>
      </c>
      <c r="U163" t="s">
        <v>227</v>
      </c>
    </row>
    <row r="164" spans="1:21">
      <c r="A164">
        <v>3163</v>
      </c>
      <c r="B164" t="s">
        <v>116</v>
      </c>
      <c r="C164" t="s">
        <v>141</v>
      </c>
      <c r="D164" s="7">
        <v>21893</v>
      </c>
      <c r="E164" s="7">
        <v>46003</v>
      </c>
      <c r="F164">
        <v>1006</v>
      </c>
      <c r="G164">
        <v>2018</v>
      </c>
      <c r="H164" t="s">
        <v>21</v>
      </c>
      <c r="I164" t="s">
        <v>81</v>
      </c>
      <c r="J164" s="7"/>
      <c r="K164" t="s">
        <v>68</v>
      </c>
      <c r="L164" s="7">
        <v>46195</v>
      </c>
      <c r="M164">
        <v>7</v>
      </c>
      <c r="N164">
        <v>15</v>
      </c>
      <c r="O164">
        <v>19</v>
      </c>
      <c r="P164">
        <v>30</v>
      </c>
      <c r="Q164">
        <v>90</v>
      </c>
      <c r="R164" t="s">
        <v>229</v>
      </c>
      <c r="S164" t="s">
        <v>229</v>
      </c>
      <c r="T164" t="s">
        <v>229</v>
      </c>
      <c r="U164" t="s">
        <v>67</v>
      </c>
    </row>
    <row r="165" spans="1:21">
      <c r="A165">
        <v>3164</v>
      </c>
      <c r="B165" t="s">
        <v>177</v>
      </c>
      <c r="C165" t="s">
        <v>134</v>
      </c>
      <c r="D165" s="7">
        <v>38056</v>
      </c>
      <c r="E165" s="7">
        <v>45794</v>
      </c>
      <c r="F165">
        <v>1006</v>
      </c>
      <c r="G165">
        <v>2018</v>
      </c>
      <c r="H165" t="s">
        <v>75</v>
      </c>
      <c r="I165" t="s">
        <v>72</v>
      </c>
      <c r="J165" s="7">
        <v>46144</v>
      </c>
      <c r="K165" t="s">
        <v>142</v>
      </c>
      <c r="L165" s="7">
        <v>46142</v>
      </c>
      <c r="M165">
        <v>8</v>
      </c>
      <c r="N165">
        <v>16</v>
      </c>
      <c r="O165">
        <v>72</v>
      </c>
      <c r="P165">
        <v>30</v>
      </c>
      <c r="Q165">
        <v>90</v>
      </c>
      <c r="R165" t="s">
        <v>229</v>
      </c>
      <c r="S165" t="s">
        <v>229</v>
      </c>
      <c r="T165" t="s">
        <v>229</v>
      </c>
      <c r="U165" t="s">
        <v>67</v>
      </c>
    </row>
    <row r="166" spans="1:21">
      <c r="A166">
        <v>3165</v>
      </c>
      <c r="B166" t="s">
        <v>184</v>
      </c>
      <c r="C166" t="s">
        <v>70</v>
      </c>
      <c r="D166" s="7">
        <v>28264</v>
      </c>
      <c r="E166" s="7">
        <v>45758</v>
      </c>
      <c r="F166">
        <v>1006</v>
      </c>
      <c r="G166">
        <v>2018</v>
      </c>
      <c r="H166" t="s">
        <v>75</v>
      </c>
      <c r="I166" t="s">
        <v>72</v>
      </c>
      <c r="J166" s="7">
        <v>45945</v>
      </c>
      <c r="K166" t="s">
        <v>142</v>
      </c>
      <c r="L166" s="7">
        <v>45937</v>
      </c>
      <c r="M166">
        <v>7</v>
      </c>
      <c r="N166">
        <v>11</v>
      </c>
      <c r="O166">
        <v>277</v>
      </c>
      <c r="P166">
        <v>30</v>
      </c>
      <c r="Q166">
        <v>90</v>
      </c>
      <c r="R166" t="s">
        <v>229</v>
      </c>
      <c r="S166" t="s">
        <v>229</v>
      </c>
      <c r="T166" t="s">
        <v>229</v>
      </c>
      <c r="U166" t="s">
        <v>67</v>
      </c>
    </row>
    <row r="167" spans="1:21">
      <c r="A167">
        <v>3166</v>
      </c>
      <c r="B167" t="s">
        <v>183</v>
      </c>
      <c r="C167" t="s">
        <v>114</v>
      </c>
      <c r="D167" s="7">
        <v>22385</v>
      </c>
      <c r="E167" s="7">
        <v>45836</v>
      </c>
      <c r="F167">
        <v>1002</v>
      </c>
      <c r="G167">
        <v>2005</v>
      </c>
      <c r="H167" t="s">
        <v>21</v>
      </c>
      <c r="I167" t="s">
        <v>67</v>
      </c>
      <c r="J167" s="7"/>
      <c r="K167" t="s">
        <v>68</v>
      </c>
      <c r="L167" s="7">
        <v>46204</v>
      </c>
      <c r="M167">
        <v>4</v>
      </c>
      <c r="N167">
        <v>7</v>
      </c>
      <c r="O167">
        <v>10</v>
      </c>
      <c r="P167">
        <v>14</v>
      </c>
      <c r="Q167">
        <v>60</v>
      </c>
      <c r="R167" t="s">
        <v>229</v>
      </c>
      <c r="S167" t="s">
        <v>229</v>
      </c>
      <c r="T167" t="s">
        <v>229</v>
      </c>
      <c r="U167" t="s">
        <v>67</v>
      </c>
    </row>
    <row r="168" spans="1:21">
      <c r="A168">
        <v>3167</v>
      </c>
      <c r="B168" t="s">
        <v>147</v>
      </c>
      <c r="C168" t="s">
        <v>178</v>
      </c>
      <c r="D168" s="7">
        <v>32900</v>
      </c>
      <c r="E168" s="7">
        <v>45172</v>
      </c>
      <c r="F168">
        <v>1003</v>
      </c>
      <c r="G168">
        <v>2007</v>
      </c>
      <c r="H168" t="s">
        <v>86</v>
      </c>
      <c r="I168" t="s">
        <v>72</v>
      </c>
      <c r="J168" s="7"/>
      <c r="K168" t="s">
        <v>68</v>
      </c>
      <c r="L168" s="7">
        <v>46158</v>
      </c>
      <c r="M168">
        <v>9</v>
      </c>
      <c r="N168">
        <v>14</v>
      </c>
      <c r="O168">
        <v>56</v>
      </c>
      <c r="P168">
        <v>30</v>
      </c>
      <c r="Q168">
        <v>90</v>
      </c>
      <c r="R168" t="s">
        <v>228</v>
      </c>
      <c r="S168" t="s">
        <v>229</v>
      </c>
      <c r="T168" t="s">
        <v>229</v>
      </c>
      <c r="U168" t="s">
        <v>72</v>
      </c>
    </row>
    <row r="169" spans="1:21">
      <c r="A169">
        <v>3168</v>
      </c>
      <c r="B169" t="s">
        <v>83</v>
      </c>
      <c r="C169" t="s">
        <v>160</v>
      </c>
      <c r="D169" s="7">
        <v>28963</v>
      </c>
      <c r="E169" s="7">
        <v>45814</v>
      </c>
      <c r="F169">
        <v>1006</v>
      </c>
      <c r="G169">
        <v>2018</v>
      </c>
      <c r="H169" t="s">
        <v>21</v>
      </c>
      <c r="I169" t="s">
        <v>67</v>
      </c>
      <c r="J169" s="7"/>
      <c r="K169" t="s">
        <v>68</v>
      </c>
      <c r="L169" s="7">
        <v>46154</v>
      </c>
      <c r="M169">
        <v>3</v>
      </c>
      <c r="N169">
        <v>4</v>
      </c>
      <c r="O169">
        <v>60</v>
      </c>
      <c r="P169">
        <v>30</v>
      </c>
      <c r="Q169">
        <v>90</v>
      </c>
      <c r="R169" t="s">
        <v>228</v>
      </c>
      <c r="S169" t="s">
        <v>229</v>
      </c>
      <c r="T169" t="s">
        <v>229</v>
      </c>
      <c r="U169" t="s">
        <v>72</v>
      </c>
    </row>
    <row r="170" spans="1:21">
      <c r="A170">
        <v>3169</v>
      </c>
      <c r="B170" t="s">
        <v>191</v>
      </c>
      <c r="C170" t="s">
        <v>141</v>
      </c>
      <c r="D170" s="7">
        <v>23487</v>
      </c>
      <c r="E170" s="7">
        <v>45181</v>
      </c>
      <c r="F170">
        <v>1002</v>
      </c>
      <c r="G170">
        <v>2005</v>
      </c>
      <c r="H170" t="s">
        <v>21</v>
      </c>
      <c r="I170" t="s">
        <v>67</v>
      </c>
      <c r="J170" s="7"/>
      <c r="K170" t="s">
        <v>68</v>
      </c>
      <c r="L170" s="7">
        <v>45932</v>
      </c>
      <c r="M170">
        <v>8</v>
      </c>
      <c r="N170">
        <v>13</v>
      </c>
      <c r="O170">
        <v>282</v>
      </c>
      <c r="P170">
        <v>14</v>
      </c>
      <c r="Q170">
        <v>60</v>
      </c>
      <c r="R170" t="s">
        <v>228</v>
      </c>
      <c r="S170" t="s">
        <v>229</v>
      </c>
      <c r="T170" t="s">
        <v>228</v>
      </c>
      <c r="U170" t="s">
        <v>227</v>
      </c>
    </row>
    <row r="171" spans="1:21">
      <c r="A171">
        <v>3170</v>
      </c>
      <c r="B171" t="s">
        <v>143</v>
      </c>
      <c r="C171" t="s">
        <v>85</v>
      </c>
      <c r="D171" s="7">
        <v>23996</v>
      </c>
      <c r="E171" s="7">
        <v>45876</v>
      </c>
      <c r="F171">
        <v>1005</v>
      </c>
      <c r="G171">
        <v>2013</v>
      </c>
      <c r="H171" t="s">
        <v>21</v>
      </c>
      <c r="I171" t="s">
        <v>72</v>
      </c>
      <c r="J171" s="7"/>
      <c r="K171" t="s">
        <v>68</v>
      </c>
      <c r="L171" s="7">
        <v>46087</v>
      </c>
      <c r="M171">
        <v>2</v>
      </c>
      <c r="N171">
        <v>10</v>
      </c>
      <c r="O171">
        <v>127</v>
      </c>
      <c r="P171">
        <v>21</v>
      </c>
      <c r="Q171">
        <v>75</v>
      </c>
      <c r="R171" t="s">
        <v>228</v>
      </c>
      <c r="S171" t="s">
        <v>229</v>
      </c>
      <c r="T171" t="s">
        <v>228</v>
      </c>
      <c r="U171" t="s">
        <v>227</v>
      </c>
    </row>
    <row r="172" spans="1:21">
      <c r="A172">
        <v>3171</v>
      </c>
      <c r="B172" t="s">
        <v>103</v>
      </c>
      <c r="C172" t="s">
        <v>133</v>
      </c>
      <c r="D172" s="7">
        <v>23937</v>
      </c>
      <c r="E172" s="7">
        <v>45441</v>
      </c>
      <c r="F172">
        <v>1003</v>
      </c>
      <c r="G172">
        <v>2009</v>
      </c>
      <c r="H172" t="s">
        <v>21</v>
      </c>
      <c r="I172" t="s">
        <v>81</v>
      </c>
      <c r="J172" s="7"/>
      <c r="K172" t="s">
        <v>68</v>
      </c>
      <c r="L172" s="7">
        <v>45997</v>
      </c>
      <c r="M172">
        <v>3</v>
      </c>
      <c r="N172">
        <v>4</v>
      </c>
      <c r="O172">
        <v>217</v>
      </c>
      <c r="P172">
        <v>30</v>
      </c>
      <c r="Q172">
        <v>90</v>
      </c>
      <c r="R172" t="s">
        <v>228</v>
      </c>
      <c r="S172" t="s">
        <v>229</v>
      </c>
      <c r="T172" t="s">
        <v>228</v>
      </c>
      <c r="U172" t="s">
        <v>227</v>
      </c>
    </row>
    <row r="173" spans="1:21">
      <c r="A173">
        <v>3172</v>
      </c>
      <c r="B173" t="s">
        <v>177</v>
      </c>
      <c r="C173" t="s">
        <v>180</v>
      </c>
      <c r="D173" s="7">
        <v>34753</v>
      </c>
      <c r="E173" s="7">
        <v>46024</v>
      </c>
      <c r="F173">
        <v>1001</v>
      </c>
      <c r="G173">
        <v>2002</v>
      </c>
      <c r="H173" t="s">
        <v>21</v>
      </c>
      <c r="I173" t="s">
        <v>72</v>
      </c>
      <c r="J173" s="7"/>
      <c r="K173" t="s">
        <v>68</v>
      </c>
      <c r="L173" s="7">
        <v>46198</v>
      </c>
      <c r="M173">
        <v>6</v>
      </c>
      <c r="N173">
        <v>11</v>
      </c>
      <c r="O173">
        <v>16</v>
      </c>
      <c r="P173">
        <v>30</v>
      </c>
      <c r="Q173">
        <v>90</v>
      </c>
      <c r="R173" t="s">
        <v>229</v>
      </c>
      <c r="S173" t="s">
        <v>229</v>
      </c>
      <c r="T173" t="s">
        <v>229</v>
      </c>
      <c r="U173" t="s">
        <v>67</v>
      </c>
    </row>
    <row r="174" spans="1:21">
      <c r="A174">
        <v>3173</v>
      </c>
      <c r="B174" t="s">
        <v>98</v>
      </c>
      <c r="C174" t="s">
        <v>178</v>
      </c>
      <c r="D174" s="7">
        <v>38274</v>
      </c>
      <c r="E174" s="7">
        <v>46115</v>
      </c>
      <c r="F174">
        <v>1002</v>
      </c>
      <c r="G174">
        <v>2005</v>
      </c>
      <c r="H174" t="s">
        <v>21</v>
      </c>
      <c r="I174" t="s">
        <v>67</v>
      </c>
      <c r="J174" s="7"/>
      <c r="K174" t="s">
        <v>68</v>
      </c>
      <c r="L174" s="7">
        <v>46189</v>
      </c>
      <c r="M174">
        <v>3</v>
      </c>
      <c r="N174">
        <v>7</v>
      </c>
      <c r="O174">
        <v>25</v>
      </c>
      <c r="P174">
        <v>14</v>
      </c>
      <c r="Q174">
        <v>60</v>
      </c>
      <c r="R174" t="s">
        <v>228</v>
      </c>
      <c r="S174" t="s">
        <v>229</v>
      </c>
      <c r="T174" t="s">
        <v>229</v>
      </c>
      <c r="U174" t="s">
        <v>72</v>
      </c>
    </row>
    <row r="175" spans="1:21">
      <c r="A175">
        <v>3174</v>
      </c>
      <c r="B175" t="s">
        <v>188</v>
      </c>
      <c r="C175" t="s">
        <v>150</v>
      </c>
      <c r="D175" s="7">
        <v>20634</v>
      </c>
      <c r="E175" s="7">
        <v>45134</v>
      </c>
      <c r="F175">
        <v>1003</v>
      </c>
      <c r="G175">
        <v>2007</v>
      </c>
      <c r="H175" t="s">
        <v>21</v>
      </c>
      <c r="I175" t="s">
        <v>81</v>
      </c>
      <c r="J175" s="7"/>
      <c r="K175" t="s">
        <v>68</v>
      </c>
      <c r="L175" s="7">
        <v>45989</v>
      </c>
      <c r="M175">
        <v>5</v>
      </c>
      <c r="N175">
        <v>8</v>
      </c>
      <c r="O175">
        <v>225</v>
      </c>
      <c r="P175">
        <v>30</v>
      </c>
      <c r="Q175">
        <v>90</v>
      </c>
      <c r="R175" t="s">
        <v>228</v>
      </c>
      <c r="S175" t="s">
        <v>229</v>
      </c>
      <c r="T175" t="s">
        <v>228</v>
      </c>
      <c r="U175" t="s">
        <v>227</v>
      </c>
    </row>
    <row r="176" spans="1:21">
      <c r="A176">
        <v>3175</v>
      </c>
      <c r="B176" t="s">
        <v>155</v>
      </c>
      <c r="C176" t="s">
        <v>141</v>
      </c>
      <c r="D176" s="7">
        <v>22770</v>
      </c>
      <c r="E176" s="7">
        <v>45134</v>
      </c>
      <c r="F176">
        <v>1002</v>
      </c>
      <c r="G176">
        <v>2005</v>
      </c>
      <c r="H176" t="s">
        <v>86</v>
      </c>
      <c r="I176" t="s">
        <v>67</v>
      </c>
      <c r="J176" s="7"/>
      <c r="K176" t="s">
        <v>68</v>
      </c>
      <c r="L176" s="7">
        <v>45907</v>
      </c>
      <c r="M176">
        <v>2</v>
      </c>
      <c r="N176">
        <v>6</v>
      </c>
      <c r="O176">
        <v>307</v>
      </c>
      <c r="P176">
        <v>14</v>
      </c>
      <c r="Q176">
        <v>60</v>
      </c>
      <c r="R176" t="s">
        <v>228</v>
      </c>
      <c r="S176" t="s">
        <v>229</v>
      </c>
      <c r="T176" t="s">
        <v>228</v>
      </c>
      <c r="U176" t="s">
        <v>227</v>
      </c>
    </row>
    <row r="177" spans="1:21">
      <c r="A177">
        <v>3176</v>
      </c>
      <c r="B177" t="s">
        <v>79</v>
      </c>
      <c r="C177" t="s">
        <v>105</v>
      </c>
      <c r="D177" s="7">
        <v>26379</v>
      </c>
      <c r="E177" s="7">
        <v>46143</v>
      </c>
      <c r="F177">
        <v>1004</v>
      </c>
      <c r="G177">
        <v>2011</v>
      </c>
      <c r="H177" t="s">
        <v>21</v>
      </c>
      <c r="I177" t="s">
        <v>72</v>
      </c>
      <c r="J177" s="7"/>
      <c r="K177" t="s">
        <v>68</v>
      </c>
      <c r="L177" s="7">
        <v>46213</v>
      </c>
      <c r="M177">
        <v>11</v>
      </c>
      <c r="N177">
        <v>18</v>
      </c>
      <c r="O177">
        <v>1</v>
      </c>
      <c r="P177">
        <v>14</v>
      </c>
      <c r="Q177">
        <v>45</v>
      </c>
      <c r="R177" t="s">
        <v>229</v>
      </c>
      <c r="S177" t="s">
        <v>229</v>
      </c>
      <c r="T177" t="s">
        <v>229</v>
      </c>
      <c r="U177" t="s">
        <v>67</v>
      </c>
    </row>
    <row r="178" spans="1:21">
      <c r="A178">
        <v>3177</v>
      </c>
      <c r="B178" t="s">
        <v>146</v>
      </c>
      <c r="C178" t="s">
        <v>162</v>
      </c>
      <c r="D178" s="7">
        <v>20225</v>
      </c>
      <c r="E178" s="7">
        <v>46012</v>
      </c>
      <c r="F178">
        <v>1006</v>
      </c>
      <c r="G178">
        <v>2018</v>
      </c>
      <c r="H178" t="s">
        <v>21</v>
      </c>
      <c r="I178" t="s">
        <v>81</v>
      </c>
      <c r="J178" s="7"/>
      <c r="K178" t="s">
        <v>68</v>
      </c>
      <c r="L178" s="7">
        <v>46123</v>
      </c>
      <c r="M178">
        <v>2</v>
      </c>
      <c r="N178">
        <v>6</v>
      </c>
      <c r="O178">
        <v>91</v>
      </c>
      <c r="P178">
        <v>30</v>
      </c>
      <c r="Q178">
        <v>90</v>
      </c>
      <c r="R178" t="s">
        <v>228</v>
      </c>
      <c r="S178" t="s">
        <v>229</v>
      </c>
      <c r="T178" t="s">
        <v>228</v>
      </c>
      <c r="U178" t="s">
        <v>227</v>
      </c>
    </row>
    <row r="179" spans="1:21">
      <c r="A179">
        <v>3178</v>
      </c>
      <c r="B179" t="s">
        <v>128</v>
      </c>
      <c r="C179" t="s">
        <v>118</v>
      </c>
      <c r="D179" s="7">
        <v>32525</v>
      </c>
      <c r="E179" s="7">
        <v>45711</v>
      </c>
      <c r="F179">
        <v>1001</v>
      </c>
      <c r="G179">
        <v>2003</v>
      </c>
      <c r="H179" t="s">
        <v>21</v>
      </c>
      <c r="I179" t="s">
        <v>72</v>
      </c>
      <c r="J179" s="7"/>
      <c r="K179" t="s">
        <v>68</v>
      </c>
      <c r="L179" s="7">
        <v>46195</v>
      </c>
      <c r="M179">
        <v>3</v>
      </c>
      <c r="N179">
        <v>6</v>
      </c>
      <c r="O179">
        <v>19</v>
      </c>
      <c r="P179">
        <v>30</v>
      </c>
      <c r="Q179">
        <v>90</v>
      </c>
      <c r="R179" t="s">
        <v>229</v>
      </c>
      <c r="S179" t="s">
        <v>229</v>
      </c>
      <c r="T179" t="s">
        <v>229</v>
      </c>
      <c r="U179" t="s">
        <v>67</v>
      </c>
    </row>
    <row r="180" spans="1:21">
      <c r="A180">
        <v>3179</v>
      </c>
      <c r="B180" t="s">
        <v>191</v>
      </c>
      <c r="C180" t="s">
        <v>120</v>
      </c>
      <c r="D180" s="7">
        <v>33915</v>
      </c>
      <c r="E180" s="7">
        <v>45860</v>
      </c>
      <c r="F180">
        <v>1001</v>
      </c>
      <c r="G180">
        <v>2003</v>
      </c>
      <c r="H180" t="s">
        <v>21</v>
      </c>
      <c r="I180" t="s">
        <v>81</v>
      </c>
      <c r="J180" s="7"/>
      <c r="K180" t="s">
        <v>68</v>
      </c>
      <c r="L180" s="7">
        <v>46182</v>
      </c>
      <c r="M180">
        <v>5</v>
      </c>
      <c r="N180">
        <v>10</v>
      </c>
      <c r="O180">
        <v>32</v>
      </c>
      <c r="P180">
        <v>30</v>
      </c>
      <c r="Q180">
        <v>90</v>
      </c>
      <c r="R180" t="s">
        <v>228</v>
      </c>
      <c r="S180" t="s">
        <v>229</v>
      </c>
      <c r="T180" t="s">
        <v>229</v>
      </c>
      <c r="U180" t="s">
        <v>81</v>
      </c>
    </row>
    <row r="181" spans="1:21">
      <c r="A181">
        <v>3180</v>
      </c>
      <c r="B181" t="s">
        <v>141</v>
      </c>
      <c r="C181" t="s">
        <v>150</v>
      </c>
      <c r="D181" s="7">
        <v>21416</v>
      </c>
      <c r="E181" s="7">
        <v>45929</v>
      </c>
      <c r="F181">
        <v>1001</v>
      </c>
      <c r="G181">
        <v>2002</v>
      </c>
      <c r="H181" t="s">
        <v>21</v>
      </c>
      <c r="I181" t="s">
        <v>67</v>
      </c>
      <c r="J181" s="7"/>
      <c r="K181" t="s">
        <v>68</v>
      </c>
      <c r="L181" s="7">
        <v>46121</v>
      </c>
      <c r="M181">
        <v>8</v>
      </c>
      <c r="N181">
        <v>14</v>
      </c>
      <c r="O181">
        <v>93</v>
      </c>
      <c r="P181">
        <v>30</v>
      </c>
      <c r="Q181">
        <v>90</v>
      </c>
      <c r="R181" t="s">
        <v>228</v>
      </c>
      <c r="S181" t="s">
        <v>229</v>
      </c>
      <c r="T181" t="s">
        <v>228</v>
      </c>
      <c r="U181" t="s">
        <v>227</v>
      </c>
    </row>
    <row r="182" spans="1:21">
      <c r="A182">
        <v>3181</v>
      </c>
      <c r="B182" t="s">
        <v>96</v>
      </c>
      <c r="C182" t="s">
        <v>137</v>
      </c>
      <c r="D182" s="7">
        <v>21341</v>
      </c>
      <c r="E182" s="7">
        <v>46164</v>
      </c>
      <c r="F182">
        <v>1006</v>
      </c>
      <c r="G182">
        <v>2018</v>
      </c>
      <c r="H182" t="s">
        <v>21</v>
      </c>
      <c r="I182" t="s">
        <v>72</v>
      </c>
      <c r="J182" s="7"/>
      <c r="K182" t="s">
        <v>68</v>
      </c>
      <c r="L182" s="7">
        <v>46213</v>
      </c>
      <c r="M182">
        <v>6</v>
      </c>
      <c r="N182">
        <v>13</v>
      </c>
      <c r="O182">
        <v>1</v>
      </c>
      <c r="P182">
        <v>30</v>
      </c>
      <c r="Q182">
        <v>90</v>
      </c>
      <c r="R182" t="s">
        <v>229</v>
      </c>
      <c r="S182" t="s">
        <v>229</v>
      </c>
      <c r="T182" t="s">
        <v>229</v>
      </c>
      <c r="U182" t="s">
        <v>67</v>
      </c>
    </row>
    <row r="183" spans="1:21">
      <c r="A183">
        <v>3182</v>
      </c>
      <c r="B183" t="s">
        <v>166</v>
      </c>
      <c r="C183" t="s">
        <v>66</v>
      </c>
      <c r="D183" s="7">
        <v>30343</v>
      </c>
      <c r="E183" s="7">
        <v>45421</v>
      </c>
      <c r="F183">
        <v>1005</v>
      </c>
      <c r="G183">
        <v>2015</v>
      </c>
      <c r="H183" t="s">
        <v>21</v>
      </c>
      <c r="I183" t="s">
        <v>72</v>
      </c>
      <c r="J183" s="7"/>
      <c r="K183" t="s">
        <v>68</v>
      </c>
      <c r="L183" s="7">
        <v>46202</v>
      </c>
      <c r="M183">
        <v>5</v>
      </c>
      <c r="N183">
        <v>10</v>
      </c>
      <c r="O183">
        <v>12</v>
      </c>
      <c r="P183">
        <v>21</v>
      </c>
      <c r="Q183">
        <v>75</v>
      </c>
      <c r="R183" t="s">
        <v>229</v>
      </c>
      <c r="S183" t="s">
        <v>229</v>
      </c>
      <c r="T183" t="s">
        <v>229</v>
      </c>
      <c r="U183" t="s">
        <v>67</v>
      </c>
    </row>
    <row r="184" spans="1:21">
      <c r="A184">
        <v>3183</v>
      </c>
      <c r="B184" t="s">
        <v>82</v>
      </c>
      <c r="C184" t="s">
        <v>138</v>
      </c>
      <c r="D184" s="7">
        <v>21308</v>
      </c>
      <c r="E184" s="7">
        <v>45481</v>
      </c>
      <c r="F184">
        <v>1002</v>
      </c>
      <c r="G184">
        <v>2006</v>
      </c>
      <c r="H184" t="s">
        <v>21</v>
      </c>
      <c r="I184" t="s">
        <v>72</v>
      </c>
      <c r="J184" s="7"/>
      <c r="K184" t="s">
        <v>68</v>
      </c>
      <c r="L184" s="7">
        <v>45729</v>
      </c>
      <c r="M184">
        <v>2</v>
      </c>
      <c r="N184">
        <v>9</v>
      </c>
      <c r="O184">
        <v>485</v>
      </c>
      <c r="P184">
        <v>14</v>
      </c>
      <c r="Q184">
        <v>60</v>
      </c>
      <c r="R184" t="s">
        <v>228</v>
      </c>
      <c r="S184" t="s">
        <v>229</v>
      </c>
      <c r="T184" t="s">
        <v>228</v>
      </c>
      <c r="U184" t="s">
        <v>227</v>
      </c>
    </row>
    <row r="185" spans="1:21">
      <c r="A185">
        <v>3184</v>
      </c>
      <c r="B185" t="s">
        <v>141</v>
      </c>
      <c r="C185" t="s">
        <v>138</v>
      </c>
      <c r="D185" s="7">
        <v>33548</v>
      </c>
      <c r="E185" s="7">
        <v>45780</v>
      </c>
      <c r="F185">
        <v>1004</v>
      </c>
      <c r="G185">
        <v>2012</v>
      </c>
      <c r="H185" t="s">
        <v>86</v>
      </c>
      <c r="I185" t="s">
        <v>72</v>
      </c>
      <c r="J185" s="7"/>
      <c r="K185" t="s">
        <v>68</v>
      </c>
      <c r="L185" s="7">
        <v>46199</v>
      </c>
      <c r="M185">
        <v>10</v>
      </c>
      <c r="N185">
        <v>15</v>
      </c>
      <c r="O185">
        <v>15</v>
      </c>
      <c r="P185">
        <v>14</v>
      </c>
      <c r="Q185">
        <v>45</v>
      </c>
      <c r="R185" t="s">
        <v>228</v>
      </c>
      <c r="S185" t="s">
        <v>229</v>
      </c>
      <c r="T185" t="s">
        <v>229</v>
      </c>
      <c r="U185" t="s">
        <v>72</v>
      </c>
    </row>
    <row r="186" spans="1:21">
      <c r="A186">
        <v>3185</v>
      </c>
      <c r="B186" t="s">
        <v>168</v>
      </c>
      <c r="C186" t="s">
        <v>180</v>
      </c>
      <c r="D186" s="7">
        <v>39528</v>
      </c>
      <c r="E186" s="7">
        <v>45739</v>
      </c>
      <c r="F186">
        <v>1003</v>
      </c>
      <c r="G186">
        <v>2007</v>
      </c>
      <c r="H186" t="s">
        <v>21</v>
      </c>
      <c r="I186" t="s">
        <v>72</v>
      </c>
      <c r="J186" s="7"/>
      <c r="K186" t="s">
        <v>68</v>
      </c>
      <c r="L186" s="7">
        <v>46213</v>
      </c>
      <c r="M186">
        <v>7</v>
      </c>
      <c r="N186">
        <v>9</v>
      </c>
      <c r="O186">
        <v>1</v>
      </c>
      <c r="P186">
        <v>30</v>
      </c>
      <c r="Q186">
        <v>90</v>
      </c>
      <c r="R186" t="s">
        <v>229</v>
      </c>
      <c r="S186" t="s">
        <v>229</v>
      </c>
      <c r="T186" t="s">
        <v>229</v>
      </c>
      <c r="U186" t="s">
        <v>67</v>
      </c>
    </row>
    <row r="187" spans="1:21">
      <c r="A187">
        <v>3186</v>
      </c>
      <c r="B187" t="s">
        <v>182</v>
      </c>
      <c r="C187" t="s">
        <v>189</v>
      </c>
      <c r="D187" s="7">
        <v>33969</v>
      </c>
      <c r="E187" s="7">
        <v>46044</v>
      </c>
      <c r="F187">
        <v>1005</v>
      </c>
      <c r="G187">
        <v>2013</v>
      </c>
      <c r="H187" t="s">
        <v>21</v>
      </c>
      <c r="I187" t="s">
        <v>67</v>
      </c>
      <c r="J187" s="7"/>
      <c r="K187" t="s">
        <v>68</v>
      </c>
      <c r="L187" s="7">
        <v>46163</v>
      </c>
      <c r="M187">
        <v>5</v>
      </c>
      <c r="N187">
        <v>14</v>
      </c>
      <c r="O187">
        <v>51</v>
      </c>
      <c r="P187">
        <v>21</v>
      </c>
      <c r="Q187">
        <v>75</v>
      </c>
      <c r="R187" t="s">
        <v>228</v>
      </c>
      <c r="S187" t="s">
        <v>229</v>
      </c>
      <c r="T187" t="s">
        <v>229</v>
      </c>
      <c r="U187" t="s">
        <v>72</v>
      </c>
    </row>
    <row r="188" spans="1:21">
      <c r="A188">
        <v>3187</v>
      </c>
      <c r="B188" t="s">
        <v>157</v>
      </c>
      <c r="C188" t="s">
        <v>162</v>
      </c>
      <c r="D188" s="7">
        <v>21797</v>
      </c>
      <c r="E188" s="7">
        <v>46157</v>
      </c>
      <c r="F188">
        <v>1003</v>
      </c>
      <c r="G188">
        <v>2008</v>
      </c>
      <c r="H188" t="s">
        <v>21</v>
      </c>
      <c r="I188" t="s">
        <v>81</v>
      </c>
      <c r="J188" s="7"/>
      <c r="K188" t="s">
        <v>68</v>
      </c>
      <c r="L188" s="7">
        <v>46193</v>
      </c>
      <c r="M188">
        <v>6</v>
      </c>
      <c r="N188">
        <v>12</v>
      </c>
      <c r="O188">
        <v>21</v>
      </c>
      <c r="P188">
        <v>30</v>
      </c>
      <c r="Q188">
        <v>90</v>
      </c>
      <c r="R188" t="s">
        <v>229</v>
      </c>
      <c r="S188" t="s">
        <v>229</v>
      </c>
      <c r="T188" t="s">
        <v>229</v>
      </c>
      <c r="U188" t="s">
        <v>67</v>
      </c>
    </row>
    <row r="189" spans="1:21">
      <c r="A189">
        <v>3188</v>
      </c>
      <c r="B189" t="s">
        <v>148</v>
      </c>
      <c r="C189" t="s">
        <v>88</v>
      </c>
      <c r="D189" s="7">
        <v>20183</v>
      </c>
      <c r="E189" s="7">
        <v>46040</v>
      </c>
      <c r="F189">
        <v>1005</v>
      </c>
      <c r="G189">
        <v>2015</v>
      </c>
      <c r="H189" t="s">
        <v>106</v>
      </c>
      <c r="I189" t="s">
        <v>72</v>
      </c>
      <c r="J189" s="7">
        <v>46193</v>
      </c>
      <c r="K189" t="s">
        <v>112</v>
      </c>
      <c r="L189" s="7">
        <v>46184</v>
      </c>
      <c r="M189">
        <v>5</v>
      </c>
      <c r="N189">
        <v>10</v>
      </c>
      <c r="O189">
        <v>30</v>
      </c>
      <c r="P189">
        <v>21</v>
      </c>
      <c r="Q189">
        <v>75</v>
      </c>
      <c r="R189" t="s">
        <v>229</v>
      </c>
      <c r="S189" t="s">
        <v>229</v>
      </c>
      <c r="T189" t="s">
        <v>229</v>
      </c>
      <c r="U189" t="s">
        <v>106</v>
      </c>
    </row>
    <row r="190" spans="1:21">
      <c r="A190">
        <v>3189</v>
      </c>
      <c r="B190" t="s">
        <v>77</v>
      </c>
      <c r="C190" t="s">
        <v>105</v>
      </c>
      <c r="D190" s="7">
        <v>33601</v>
      </c>
      <c r="E190" s="7">
        <v>45330</v>
      </c>
      <c r="F190">
        <v>1005</v>
      </c>
      <c r="G190">
        <v>2014</v>
      </c>
      <c r="H190" t="s">
        <v>21</v>
      </c>
      <c r="I190" t="s">
        <v>81</v>
      </c>
      <c r="J190" s="7"/>
      <c r="K190" t="s">
        <v>68</v>
      </c>
      <c r="L190" s="7">
        <v>45936</v>
      </c>
      <c r="M190">
        <v>2</v>
      </c>
      <c r="N190">
        <v>5</v>
      </c>
      <c r="O190">
        <v>278</v>
      </c>
      <c r="P190">
        <v>21</v>
      </c>
      <c r="Q190">
        <v>75</v>
      </c>
      <c r="R190" t="s">
        <v>228</v>
      </c>
      <c r="S190" t="s">
        <v>229</v>
      </c>
      <c r="T190" t="s">
        <v>228</v>
      </c>
      <c r="U190" t="s">
        <v>227</v>
      </c>
    </row>
    <row r="191" spans="1:21">
      <c r="A191">
        <v>3190</v>
      </c>
      <c r="B191" t="s">
        <v>179</v>
      </c>
      <c r="C191" t="s">
        <v>71</v>
      </c>
      <c r="D191" s="7">
        <v>20121</v>
      </c>
      <c r="E191" s="7">
        <v>45626</v>
      </c>
      <c r="F191">
        <v>1003</v>
      </c>
      <c r="G191">
        <v>2009</v>
      </c>
      <c r="H191" t="s">
        <v>21</v>
      </c>
      <c r="I191" t="s">
        <v>72</v>
      </c>
      <c r="J191" s="7"/>
      <c r="K191" t="s">
        <v>68</v>
      </c>
      <c r="L191" s="7">
        <v>46134</v>
      </c>
      <c r="M191">
        <v>7</v>
      </c>
      <c r="N191">
        <v>10</v>
      </c>
      <c r="O191">
        <v>80</v>
      </c>
      <c r="P191">
        <v>30</v>
      </c>
      <c r="Q191">
        <v>90</v>
      </c>
      <c r="R191" t="s">
        <v>228</v>
      </c>
      <c r="S191" t="s">
        <v>228</v>
      </c>
      <c r="T191" t="s">
        <v>229</v>
      </c>
      <c r="U191" t="s">
        <v>81</v>
      </c>
    </row>
    <row r="192" spans="1:21">
      <c r="A192">
        <v>3191</v>
      </c>
      <c r="B192" t="s">
        <v>82</v>
      </c>
      <c r="C192" t="s">
        <v>164</v>
      </c>
      <c r="D192" s="7">
        <v>31533</v>
      </c>
      <c r="E192" s="7">
        <v>45956</v>
      </c>
      <c r="F192">
        <v>1004</v>
      </c>
      <c r="G192">
        <v>2011</v>
      </c>
      <c r="H192" t="s">
        <v>21</v>
      </c>
      <c r="I192" t="s">
        <v>81</v>
      </c>
      <c r="J192" s="7"/>
      <c r="K192" t="s">
        <v>68</v>
      </c>
      <c r="L192" s="7">
        <v>46176</v>
      </c>
      <c r="M192">
        <v>11</v>
      </c>
      <c r="N192">
        <v>16</v>
      </c>
      <c r="O192">
        <v>38</v>
      </c>
      <c r="P192">
        <v>14</v>
      </c>
      <c r="Q192">
        <v>45</v>
      </c>
      <c r="R192" t="s">
        <v>228</v>
      </c>
      <c r="S192" t="s">
        <v>228</v>
      </c>
      <c r="T192" t="s">
        <v>229</v>
      </c>
      <c r="U192" t="s">
        <v>81</v>
      </c>
    </row>
    <row r="193" spans="1:21">
      <c r="A193">
        <v>3192</v>
      </c>
      <c r="B193" t="s">
        <v>87</v>
      </c>
      <c r="C193" t="s">
        <v>125</v>
      </c>
      <c r="D193" s="7">
        <v>20998</v>
      </c>
      <c r="E193" s="7">
        <v>45794</v>
      </c>
      <c r="F193">
        <v>1006</v>
      </c>
      <c r="G193">
        <v>2017</v>
      </c>
      <c r="H193" t="s">
        <v>75</v>
      </c>
      <c r="I193" t="s">
        <v>72</v>
      </c>
      <c r="J193" s="7">
        <v>45849</v>
      </c>
      <c r="K193" t="s">
        <v>149</v>
      </c>
      <c r="L193" s="7">
        <v>45849</v>
      </c>
      <c r="M193">
        <v>11</v>
      </c>
      <c r="N193">
        <v>19</v>
      </c>
      <c r="O193">
        <v>365</v>
      </c>
      <c r="P193">
        <v>30</v>
      </c>
      <c r="Q193">
        <v>90</v>
      </c>
      <c r="R193" t="s">
        <v>229</v>
      </c>
      <c r="S193" t="s">
        <v>229</v>
      </c>
      <c r="T193" t="s">
        <v>229</v>
      </c>
      <c r="U193" t="s">
        <v>67</v>
      </c>
    </row>
    <row r="194" spans="1:21">
      <c r="A194">
        <v>3193</v>
      </c>
      <c r="B194" t="s">
        <v>156</v>
      </c>
      <c r="C194" t="s">
        <v>190</v>
      </c>
      <c r="D194" s="7">
        <v>38588</v>
      </c>
      <c r="E194" s="7">
        <v>45426</v>
      </c>
      <c r="F194">
        <v>1003</v>
      </c>
      <c r="G194">
        <v>2008</v>
      </c>
      <c r="H194" t="s">
        <v>86</v>
      </c>
      <c r="I194" t="s">
        <v>72</v>
      </c>
      <c r="J194" s="7"/>
      <c r="K194" t="s">
        <v>68</v>
      </c>
      <c r="L194" s="7">
        <v>45839</v>
      </c>
      <c r="M194">
        <v>1</v>
      </c>
      <c r="N194">
        <v>7</v>
      </c>
      <c r="O194">
        <v>375</v>
      </c>
      <c r="P194">
        <v>30</v>
      </c>
      <c r="Q194">
        <v>90</v>
      </c>
      <c r="R194" t="s">
        <v>228</v>
      </c>
      <c r="S194" t="s">
        <v>229</v>
      </c>
      <c r="T194" t="s">
        <v>228</v>
      </c>
      <c r="U194" t="s">
        <v>227</v>
      </c>
    </row>
    <row r="195" spans="1:21">
      <c r="A195">
        <v>3194</v>
      </c>
      <c r="B195" t="s">
        <v>147</v>
      </c>
      <c r="C195" t="s">
        <v>174</v>
      </c>
      <c r="D195" s="7">
        <v>31682</v>
      </c>
      <c r="E195" s="7">
        <v>45383</v>
      </c>
      <c r="F195">
        <v>1005</v>
      </c>
      <c r="G195">
        <v>2015</v>
      </c>
      <c r="H195" t="s">
        <v>21</v>
      </c>
      <c r="I195" t="s">
        <v>67</v>
      </c>
      <c r="J195" s="7"/>
      <c r="K195" t="s">
        <v>68</v>
      </c>
      <c r="L195" s="7">
        <v>46148</v>
      </c>
      <c r="M195">
        <v>8</v>
      </c>
      <c r="N195">
        <v>14</v>
      </c>
      <c r="O195">
        <v>66</v>
      </c>
      <c r="P195">
        <v>21</v>
      </c>
      <c r="Q195">
        <v>75</v>
      </c>
      <c r="R195" t="s">
        <v>228</v>
      </c>
      <c r="S195" t="s">
        <v>228</v>
      </c>
      <c r="T195" t="s">
        <v>229</v>
      </c>
      <c r="U195" t="s">
        <v>81</v>
      </c>
    </row>
    <row r="196" spans="1:21">
      <c r="A196">
        <v>3195</v>
      </c>
      <c r="B196" t="s">
        <v>130</v>
      </c>
      <c r="C196" t="s">
        <v>127</v>
      </c>
      <c r="D196" s="7">
        <v>29602</v>
      </c>
      <c r="E196" s="7">
        <v>45380</v>
      </c>
      <c r="F196">
        <v>1001</v>
      </c>
      <c r="G196">
        <v>2003</v>
      </c>
      <c r="H196" t="s">
        <v>21</v>
      </c>
      <c r="I196" t="s">
        <v>72</v>
      </c>
      <c r="J196" s="7"/>
      <c r="K196" t="s">
        <v>68</v>
      </c>
      <c r="L196" s="7">
        <v>46173</v>
      </c>
      <c r="M196">
        <v>7</v>
      </c>
      <c r="N196">
        <v>20</v>
      </c>
      <c r="O196">
        <v>41</v>
      </c>
      <c r="P196">
        <v>30</v>
      </c>
      <c r="Q196">
        <v>90</v>
      </c>
      <c r="R196" t="s">
        <v>228</v>
      </c>
      <c r="S196" t="s">
        <v>229</v>
      </c>
      <c r="T196" t="s">
        <v>229</v>
      </c>
      <c r="U196" t="s">
        <v>72</v>
      </c>
    </row>
    <row r="197" spans="1:21">
      <c r="A197">
        <v>3196</v>
      </c>
      <c r="B197" t="s">
        <v>94</v>
      </c>
      <c r="C197" t="s">
        <v>150</v>
      </c>
      <c r="D197" s="7">
        <v>30695</v>
      </c>
      <c r="E197" s="7">
        <v>45156</v>
      </c>
      <c r="F197">
        <v>1006</v>
      </c>
      <c r="G197">
        <v>2017</v>
      </c>
      <c r="H197" t="s">
        <v>21</v>
      </c>
      <c r="I197" t="s">
        <v>67</v>
      </c>
      <c r="J197" s="7"/>
      <c r="K197" t="s">
        <v>68</v>
      </c>
      <c r="L197" s="7">
        <v>46111</v>
      </c>
      <c r="M197">
        <v>8</v>
      </c>
      <c r="N197">
        <v>16</v>
      </c>
      <c r="O197">
        <v>103</v>
      </c>
      <c r="P197">
        <v>30</v>
      </c>
      <c r="Q197">
        <v>90</v>
      </c>
      <c r="R197" t="s">
        <v>228</v>
      </c>
      <c r="S197" t="s">
        <v>229</v>
      </c>
      <c r="T197" t="s">
        <v>228</v>
      </c>
      <c r="U197" t="s">
        <v>227</v>
      </c>
    </row>
    <row r="198" spans="1:21">
      <c r="A198">
        <v>3197</v>
      </c>
      <c r="B198" t="s">
        <v>119</v>
      </c>
      <c r="C198" t="s">
        <v>181</v>
      </c>
      <c r="D198" s="7">
        <v>25130</v>
      </c>
      <c r="E198" s="7">
        <v>45582</v>
      </c>
      <c r="F198">
        <v>1002</v>
      </c>
      <c r="G198">
        <v>2005</v>
      </c>
      <c r="H198" t="s">
        <v>21</v>
      </c>
      <c r="I198" t="s">
        <v>72</v>
      </c>
      <c r="J198" s="7"/>
      <c r="K198" t="s">
        <v>68</v>
      </c>
      <c r="L198" s="7">
        <v>45999</v>
      </c>
      <c r="M198">
        <v>5</v>
      </c>
      <c r="N198">
        <v>12</v>
      </c>
      <c r="O198">
        <v>215</v>
      </c>
      <c r="P198">
        <v>14</v>
      </c>
      <c r="Q198">
        <v>60</v>
      </c>
      <c r="R198" t="s">
        <v>228</v>
      </c>
      <c r="S198" t="s">
        <v>229</v>
      </c>
      <c r="T198" t="s">
        <v>228</v>
      </c>
      <c r="U198" t="s">
        <v>227</v>
      </c>
    </row>
    <row r="199" spans="1:21">
      <c r="A199">
        <v>3198</v>
      </c>
      <c r="B199" t="s">
        <v>156</v>
      </c>
      <c r="C199" t="s">
        <v>129</v>
      </c>
      <c r="D199" s="7">
        <v>36526</v>
      </c>
      <c r="E199" s="7">
        <v>46197</v>
      </c>
      <c r="F199">
        <v>1001</v>
      </c>
      <c r="G199">
        <v>2003</v>
      </c>
      <c r="H199" t="s">
        <v>75</v>
      </c>
      <c r="I199" t="s">
        <v>67</v>
      </c>
      <c r="J199" s="7">
        <v>46204</v>
      </c>
      <c r="K199" t="s">
        <v>112</v>
      </c>
      <c r="L199" s="7">
        <v>46203</v>
      </c>
      <c r="M199">
        <v>5</v>
      </c>
      <c r="N199">
        <v>15</v>
      </c>
      <c r="O199">
        <v>11</v>
      </c>
      <c r="P199">
        <v>30</v>
      </c>
      <c r="Q199">
        <v>90</v>
      </c>
      <c r="R199" t="s">
        <v>229</v>
      </c>
      <c r="S199" t="s">
        <v>229</v>
      </c>
      <c r="T199" t="s">
        <v>229</v>
      </c>
      <c r="U199" t="s">
        <v>67</v>
      </c>
    </row>
    <row r="200" spans="1:21">
      <c r="A200">
        <v>3199</v>
      </c>
      <c r="B200" t="s">
        <v>107</v>
      </c>
      <c r="C200" t="s">
        <v>71</v>
      </c>
      <c r="D200" s="7">
        <v>24764</v>
      </c>
      <c r="E200" s="7">
        <v>45458</v>
      </c>
      <c r="F200">
        <v>1005</v>
      </c>
      <c r="G200">
        <v>2013</v>
      </c>
      <c r="H200" t="s">
        <v>21</v>
      </c>
      <c r="I200" t="s">
        <v>67</v>
      </c>
      <c r="J200" s="7"/>
      <c r="K200" t="s">
        <v>68</v>
      </c>
      <c r="L200" s="7">
        <v>45877</v>
      </c>
      <c r="M200">
        <v>4</v>
      </c>
      <c r="N200">
        <v>8</v>
      </c>
      <c r="O200">
        <v>337</v>
      </c>
      <c r="P200">
        <v>21</v>
      </c>
      <c r="Q200">
        <v>75</v>
      </c>
      <c r="R200" t="s">
        <v>228</v>
      </c>
      <c r="S200" t="s">
        <v>229</v>
      </c>
      <c r="T200" t="s">
        <v>228</v>
      </c>
      <c r="U200" t="s">
        <v>227</v>
      </c>
    </row>
    <row r="201" spans="1:21">
      <c r="A201">
        <v>3200</v>
      </c>
      <c r="B201" t="s">
        <v>103</v>
      </c>
      <c r="C201" t="s">
        <v>141</v>
      </c>
      <c r="D201" s="7">
        <v>33394</v>
      </c>
      <c r="E201" s="7">
        <v>45702</v>
      </c>
      <c r="F201">
        <v>1001</v>
      </c>
      <c r="G201">
        <v>2003</v>
      </c>
      <c r="H201" t="s">
        <v>21</v>
      </c>
      <c r="I201" t="s">
        <v>72</v>
      </c>
      <c r="J201" s="7"/>
      <c r="K201" t="s">
        <v>68</v>
      </c>
      <c r="L201" s="7">
        <v>46214</v>
      </c>
      <c r="M201">
        <v>4</v>
      </c>
      <c r="N201">
        <v>11</v>
      </c>
      <c r="O201">
        <v>0</v>
      </c>
      <c r="P201">
        <v>30</v>
      </c>
      <c r="Q201">
        <v>90</v>
      </c>
      <c r="R201" t="s">
        <v>229</v>
      </c>
      <c r="S201" t="s">
        <v>229</v>
      </c>
      <c r="T201" t="s">
        <v>229</v>
      </c>
      <c r="U201" t="s">
        <v>67</v>
      </c>
    </row>
    <row r="202" spans="1:21">
      <c r="A202">
        <v>3201</v>
      </c>
      <c r="B202" t="s">
        <v>94</v>
      </c>
      <c r="C202" t="s">
        <v>176</v>
      </c>
      <c r="D202" s="7">
        <v>34207</v>
      </c>
      <c r="E202" s="7">
        <v>45516</v>
      </c>
      <c r="F202">
        <v>1004</v>
      </c>
      <c r="G202">
        <v>2011</v>
      </c>
      <c r="H202" t="s">
        <v>21</v>
      </c>
      <c r="I202" t="s">
        <v>67</v>
      </c>
      <c r="J202" s="7"/>
      <c r="K202" t="s">
        <v>68</v>
      </c>
      <c r="L202" s="7">
        <v>46115</v>
      </c>
      <c r="M202">
        <v>1</v>
      </c>
      <c r="N202">
        <v>5</v>
      </c>
      <c r="O202">
        <v>99</v>
      </c>
      <c r="P202">
        <v>14</v>
      </c>
      <c r="Q202">
        <v>45</v>
      </c>
      <c r="R202" t="s">
        <v>228</v>
      </c>
      <c r="S202" t="s">
        <v>229</v>
      </c>
      <c r="T202" t="s">
        <v>228</v>
      </c>
      <c r="U202" t="s">
        <v>227</v>
      </c>
    </row>
    <row r="203" spans="1:21">
      <c r="A203">
        <v>3202</v>
      </c>
      <c r="B203" t="s">
        <v>98</v>
      </c>
      <c r="C203" t="s">
        <v>151</v>
      </c>
      <c r="D203" s="7">
        <v>31352</v>
      </c>
      <c r="E203" s="7">
        <v>46148</v>
      </c>
      <c r="F203">
        <v>1005</v>
      </c>
      <c r="G203">
        <v>2014</v>
      </c>
      <c r="H203" t="s">
        <v>21</v>
      </c>
      <c r="I203" t="s">
        <v>67</v>
      </c>
      <c r="J203" s="7"/>
      <c r="K203" t="s">
        <v>68</v>
      </c>
      <c r="L203" s="7">
        <v>46179</v>
      </c>
      <c r="M203">
        <v>3</v>
      </c>
      <c r="N203">
        <v>10</v>
      </c>
      <c r="O203">
        <v>35</v>
      </c>
      <c r="P203">
        <v>21</v>
      </c>
      <c r="Q203">
        <v>75</v>
      </c>
      <c r="R203" t="s">
        <v>228</v>
      </c>
      <c r="S203" t="s">
        <v>229</v>
      </c>
      <c r="T203" t="s">
        <v>229</v>
      </c>
      <c r="U203" t="s">
        <v>72</v>
      </c>
    </row>
    <row r="204" spans="1:21">
      <c r="A204">
        <v>3203</v>
      </c>
      <c r="B204" t="s">
        <v>141</v>
      </c>
      <c r="C204" t="s">
        <v>111</v>
      </c>
      <c r="D204" s="7">
        <v>27031</v>
      </c>
      <c r="E204" s="7">
        <v>45225</v>
      </c>
      <c r="F204">
        <v>1002</v>
      </c>
      <c r="G204">
        <v>2005</v>
      </c>
      <c r="H204" t="s">
        <v>75</v>
      </c>
      <c r="I204" t="s">
        <v>67</v>
      </c>
      <c r="J204" s="7">
        <v>45888</v>
      </c>
      <c r="K204" t="s">
        <v>121</v>
      </c>
      <c r="L204" s="7">
        <v>45852</v>
      </c>
      <c r="M204">
        <v>4</v>
      </c>
      <c r="N204">
        <v>9</v>
      </c>
      <c r="O204">
        <v>362</v>
      </c>
      <c r="P204">
        <v>14</v>
      </c>
      <c r="Q204">
        <v>60</v>
      </c>
      <c r="R204" t="s">
        <v>229</v>
      </c>
      <c r="S204" t="s">
        <v>229</v>
      </c>
      <c r="T204" t="s">
        <v>229</v>
      </c>
      <c r="U204" t="s">
        <v>67</v>
      </c>
    </row>
    <row r="205" spans="1:21">
      <c r="A205">
        <v>3204</v>
      </c>
      <c r="B205" t="s">
        <v>191</v>
      </c>
      <c r="C205" t="s">
        <v>102</v>
      </c>
      <c r="D205" s="7">
        <v>22924</v>
      </c>
      <c r="E205" s="7">
        <v>45702</v>
      </c>
      <c r="F205">
        <v>1005</v>
      </c>
      <c r="G205">
        <v>2013</v>
      </c>
      <c r="H205" t="s">
        <v>86</v>
      </c>
      <c r="I205" t="s">
        <v>72</v>
      </c>
      <c r="J205" s="7"/>
      <c r="K205" t="s">
        <v>68</v>
      </c>
      <c r="L205" s="7">
        <v>46210</v>
      </c>
      <c r="M205">
        <v>9</v>
      </c>
      <c r="N205">
        <v>18</v>
      </c>
      <c r="O205">
        <v>4</v>
      </c>
      <c r="P205">
        <v>21</v>
      </c>
      <c r="Q205">
        <v>75</v>
      </c>
      <c r="R205" t="s">
        <v>229</v>
      </c>
      <c r="S205" t="s">
        <v>229</v>
      </c>
      <c r="T205" t="s">
        <v>229</v>
      </c>
      <c r="U205" t="s">
        <v>67</v>
      </c>
    </row>
    <row r="206" spans="1:21">
      <c r="A206">
        <v>3205</v>
      </c>
      <c r="B206" t="s">
        <v>89</v>
      </c>
      <c r="C206" t="s">
        <v>95</v>
      </c>
      <c r="D206" s="7">
        <v>33174</v>
      </c>
      <c r="E206" s="7">
        <v>45306</v>
      </c>
      <c r="F206">
        <v>1002</v>
      </c>
      <c r="G206">
        <v>2006</v>
      </c>
      <c r="H206" t="s">
        <v>21</v>
      </c>
      <c r="I206" t="s">
        <v>72</v>
      </c>
      <c r="J206" s="7"/>
      <c r="K206" t="s">
        <v>68</v>
      </c>
      <c r="L206" s="7">
        <v>46158</v>
      </c>
      <c r="M206">
        <v>4</v>
      </c>
      <c r="N206">
        <v>10</v>
      </c>
      <c r="O206">
        <v>56</v>
      </c>
      <c r="P206">
        <v>14</v>
      </c>
      <c r="Q206">
        <v>60</v>
      </c>
      <c r="R206" t="s">
        <v>228</v>
      </c>
      <c r="S206" t="s">
        <v>228</v>
      </c>
      <c r="T206" t="s">
        <v>229</v>
      </c>
      <c r="U206" t="s">
        <v>81</v>
      </c>
    </row>
    <row r="207" spans="1:21">
      <c r="A207">
        <v>3206</v>
      </c>
      <c r="B207" t="s">
        <v>157</v>
      </c>
      <c r="C207" t="s">
        <v>190</v>
      </c>
      <c r="D207" s="7">
        <v>31830</v>
      </c>
      <c r="E207" s="7">
        <v>46147</v>
      </c>
      <c r="F207">
        <v>1004</v>
      </c>
      <c r="G207">
        <v>2012</v>
      </c>
      <c r="H207" t="s">
        <v>106</v>
      </c>
      <c r="I207" t="s">
        <v>67</v>
      </c>
      <c r="J207" s="7">
        <v>46177</v>
      </c>
      <c r="K207" t="s">
        <v>91</v>
      </c>
      <c r="L207" s="7">
        <v>46162</v>
      </c>
      <c r="M207">
        <v>3</v>
      </c>
      <c r="N207">
        <v>5</v>
      </c>
      <c r="O207">
        <v>52</v>
      </c>
      <c r="P207">
        <v>14</v>
      </c>
      <c r="Q207">
        <v>45</v>
      </c>
      <c r="R207" t="s">
        <v>229</v>
      </c>
      <c r="S207" t="s">
        <v>229</v>
      </c>
      <c r="T207" t="s">
        <v>229</v>
      </c>
      <c r="U207" t="s">
        <v>106</v>
      </c>
    </row>
    <row r="208" spans="1:21">
      <c r="A208">
        <v>3207</v>
      </c>
      <c r="B208" t="s">
        <v>119</v>
      </c>
      <c r="C208" t="s">
        <v>78</v>
      </c>
      <c r="D208" s="7">
        <v>29825</v>
      </c>
      <c r="E208" s="7">
        <v>45418</v>
      </c>
      <c r="F208">
        <v>1003</v>
      </c>
      <c r="G208">
        <v>2007</v>
      </c>
      <c r="H208" t="s">
        <v>21</v>
      </c>
      <c r="I208" t="s">
        <v>81</v>
      </c>
      <c r="J208" s="7"/>
      <c r="K208" t="s">
        <v>68</v>
      </c>
      <c r="L208" s="7">
        <v>46211</v>
      </c>
      <c r="M208">
        <v>7</v>
      </c>
      <c r="N208">
        <v>13</v>
      </c>
      <c r="O208">
        <v>3</v>
      </c>
      <c r="P208">
        <v>30</v>
      </c>
      <c r="Q208">
        <v>90</v>
      </c>
      <c r="R208" t="s">
        <v>229</v>
      </c>
      <c r="S208" t="s">
        <v>229</v>
      </c>
      <c r="T208" t="s">
        <v>229</v>
      </c>
      <c r="U208" t="s">
        <v>67</v>
      </c>
    </row>
    <row r="209" spans="1:21">
      <c r="A209">
        <v>3208</v>
      </c>
      <c r="B209" t="s">
        <v>135</v>
      </c>
      <c r="C209" t="s">
        <v>160</v>
      </c>
      <c r="D209" s="7">
        <v>34210</v>
      </c>
      <c r="E209" s="7">
        <v>46037</v>
      </c>
      <c r="F209">
        <v>1003</v>
      </c>
      <c r="G209">
        <v>2008</v>
      </c>
      <c r="H209" t="s">
        <v>86</v>
      </c>
      <c r="I209" t="s">
        <v>67</v>
      </c>
      <c r="J209" s="7"/>
      <c r="K209" t="s">
        <v>68</v>
      </c>
      <c r="L209" s="7">
        <v>46140</v>
      </c>
      <c r="M209">
        <v>5</v>
      </c>
      <c r="N209">
        <v>12</v>
      </c>
      <c r="O209">
        <v>74</v>
      </c>
      <c r="P209">
        <v>30</v>
      </c>
      <c r="Q209">
        <v>90</v>
      </c>
      <c r="R209" t="s">
        <v>228</v>
      </c>
      <c r="S209" t="s">
        <v>228</v>
      </c>
      <c r="T209" t="s">
        <v>229</v>
      </c>
      <c r="U209" t="s">
        <v>81</v>
      </c>
    </row>
    <row r="210" spans="1:21">
      <c r="A210">
        <v>3209</v>
      </c>
      <c r="B210" t="s">
        <v>126</v>
      </c>
      <c r="C210" t="s">
        <v>137</v>
      </c>
      <c r="D210" s="7">
        <v>36822</v>
      </c>
      <c r="E210" s="7">
        <v>46199</v>
      </c>
      <c r="F210">
        <v>1001</v>
      </c>
      <c r="G210">
        <v>2002</v>
      </c>
      <c r="H210" t="s">
        <v>21</v>
      </c>
      <c r="I210" t="s">
        <v>81</v>
      </c>
      <c r="J210" s="7"/>
      <c r="K210" t="s">
        <v>68</v>
      </c>
      <c r="L210" s="7">
        <v>46211</v>
      </c>
      <c r="M210">
        <v>5</v>
      </c>
      <c r="N210">
        <v>10</v>
      </c>
      <c r="O210">
        <v>3</v>
      </c>
      <c r="P210">
        <v>30</v>
      </c>
      <c r="Q210">
        <v>90</v>
      </c>
      <c r="R210" t="s">
        <v>229</v>
      </c>
      <c r="S210" t="s">
        <v>229</v>
      </c>
      <c r="T210" t="s">
        <v>229</v>
      </c>
      <c r="U210" t="s">
        <v>67</v>
      </c>
    </row>
    <row r="211" spans="1:21">
      <c r="A211">
        <v>3210</v>
      </c>
      <c r="B211" t="s">
        <v>115</v>
      </c>
      <c r="C211" t="s">
        <v>137</v>
      </c>
      <c r="D211" s="7">
        <v>32595</v>
      </c>
      <c r="E211" s="7">
        <v>46055</v>
      </c>
      <c r="F211">
        <v>1003</v>
      </c>
      <c r="G211">
        <v>2007</v>
      </c>
      <c r="H211" t="s">
        <v>21</v>
      </c>
      <c r="I211" t="s">
        <v>67</v>
      </c>
      <c r="J211" s="7"/>
      <c r="K211" t="s">
        <v>68</v>
      </c>
      <c r="L211" s="7">
        <v>46202</v>
      </c>
      <c r="M211">
        <v>10</v>
      </c>
      <c r="N211">
        <v>17</v>
      </c>
      <c r="O211">
        <v>12</v>
      </c>
      <c r="P211">
        <v>30</v>
      </c>
      <c r="Q211">
        <v>90</v>
      </c>
      <c r="R211" t="s">
        <v>229</v>
      </c>
      <c r="S211" t="s">
        <v>229</v>
      </c>
      <c r="T211" t="s">
        <v>229</v>
      </c>
      <c r="U211" t="s">
        <v>67</v>
      </c>
    </row>
    <row r="212" spans="1:21">
      <c r="A212">
        <v>3211</v>
      </c>
      <c r="B212" t="s">
        <v>126</v>
      </c>
      <c r="C212" t="s">
        <v>160</v>
      </c>
      <c r="D212" s="7">
        <v>23543</v>
      </c>
      <c r="E212" s="7">
        <v>45715</v>
      </c>
      <c r="F212">
        <v>1004</v>
      </c>
      <c r="G212">
        <v>2011</v>
      </c>
      <c r="H212" t="s">
        <v>21</v>
      </c>
      <c r="I212" t="s">
        <v>72</v>
      </c>
      <c r="J212" s="7"/>
      <c r="K212" t="s">
        <v>68</v>
      </c>
      <c r="L212" s="7">
        <v>46196</v>
      </c>
      <c r="M212">
        <v>9</v>
      </c>
      <c r="N212">
        <v>18</v>
      </c>
      <c r="O212">
        <v>18</v>
      </c>
      <c r="P212">
        <v>14</v>
      </c>
      <c r="Q212">
        <v>45</v>
      </c>
      <c r="R212" t="s">
        <v>228</v>
      </c>
      <c r="S212" t="s">
        <v>229</v>
      </c>
      <c r="T212" t="s">
        <v>229</v>
      </c>
      <c r="U212" t="s">
        <v>72</v>
      </c>
    </row>
    <row r="213" spans="1:21">
      <c r="A213">
        <v>3212</v>
      </c>
      <c r="B213" t="s">
        <v>94</v>
      </c>
      <c r="C213" t="s">
        <v>145</v>
      </c>
      <c r="D213" s="7">
        <v>21644</v>
      </c>
      <c r="E213" s="7">
        <v>46191</v>
      </c>
      <c r="F213">
        <v>1005</v>
      </c>
      <c r="G213">
        <v>2014</v>
      </c>
      <c r="H213" t="s">
        <v>21</v>
      </c>
      <c r="I213" t="s">
        <v>67</v>
      </c>
      <c r="J213" s="7"/>
      <c r="K213" t="s">
        <v>68</v>
      </c>
      <c r="L213" s="7">
        <v>46213</v>
      </c>
      <c r="M213">
        <v>6</v>
      </c>
      <c r="N213">
        <v>19</v>
      </c>
      <c r="O213">
        <v>1</v>
      </c>
      <c r="P213">
        <v>21</v>
      </c>
      <c r="Q213">
        <v>75</v>
      </c>
      <c r="R213" t="s">
        <v>229</v>
      </c>
      <c r="S213" t="s">
        <v>229</v>
      </c>
      <c r="T213" t="s">
        <v>229</v>
      </c>
      <c r="U213" t="s">
        <v>67</v>
      </c>
    </row>
    <row r="214" spans="1:21">
      <c r="A214">
        <v>3213</v>
      </c>
      <c r="B214" t="s">
        <v>157</v>
      </c>
      <c r="C214" t="s">
        <v>122</v>
      </c>
      <c r="D214" s="7">
        <v>36997</v>
      </c>
      <c r="E214" s="7">
        <v>45160</v>
      </c>
      <c r="F214">
        <v>1005</v>
      </c>
      <c r="G214">
        <v>2015</v>
      </c>
      <c r="H214" t="s">
        <v>21</v>
      </c>
      <c r="I214" t="s">
        <v>81</v>
      </c>
      <c r="J214" s="7"/>
      <c r="K214" t="s">
        <v>68</v>
      </c>
      <c r="L214" s="7">
        <v>46147</v>
      </c>
      <c r="M214">
        <v>7</v>
      </c>
      <c r="N214">
        <v>15</v>
      </c>
      <c r="O214">
        <v>67</v>
      </c>
      <c r="P214">
        <v>21</v>
      </c>
      <c r="Q214">
        <v>75</v>
      </c>
      <c r="R214" t="s">
        <v>228</v>
      </c>
      <c r="S214" t="s">
        <v>228</v>
      </c>
      <c r="T214" t="s">
        <v>229</v>
      </c>
      <c r="U214" t="s">
        <v>81</v>
      </c>
    </row>
    <row r="215" spans="1:21">
      <c r="A215">
        <v>3214</v>
      </c>
      <c r="B215" t="s">
        <v>83</v>
      </c>
      <c r="C215" t="s">
        <v>139</v>
      </c>
      <c r="D215" s="7">
        <v>27150</v>
      </c>
      <c r="E215" s="7">
        <v>45152</v>
      </c>
      <c r="F215">
        <v>1004</v>
      </c>
      <c r="G215">
        <v>2011</v>
      </c>
      <c r="H215" t="s">
        <v>21</v>
      </c>
      <c r="I215" t="s">
        <v>81</v>
      </c>
      <c r="J215" s="7"/>
      <c r="K215" t="s">
        <v>68</v>
      </c>
      <c r="L215" s="7">
        <v>46139</v>
      </c>
      <c r="M215">
        <v>8</v>
      </c>
      <c r="N215">
        <v>16</v>
      </c>
      <c r="O215">
        <v>75</v>
      </c>
      <c r="P215">
        <v>14</v>
      </c>
      <c r="Q215">
        <v>45</v>
      </c>
      <c r="R215" t="s">
        <v>228</v>
      </c>
      <c r="S215" t="s">
        <v>229</v>
      </c>
      <c r="T215" t="s">
        <v>228</v>
      </c>
      <c r="U215" t="s">
        <v>227</v>
      </c>
    </row>
    <row r="216" spans="1:21">
      <c r="A216">
        <v>3215</v>
      </c>
      <c r="B216" t="s">
        <v>119</v>
      </c>
      <c r="C216" t="s">
        <v>78</v>
      </c>
      <c r="D216" s="7">
        <v>22235</v>
      </c>
      <c r="E216" s="7">
        <v>45799</v>
      </c>
      <c r="F216">
        <v>1001</v>
      </c>
      <c r="G216">
        <v>2003</v>
      </c>
      <c r="H216" t="s">
        <v>21</v>
      </c>
      <c r="I216" t="s">
        <v>72</v>
      </c>
      <c r="J216" s="7"/>
      <c r="K216" t="s">
        <v>68</v>
      </c>
      <c r="L216" s="7">
        <v>46135</v>
      </c>
      <c r="M216">
        <v>4</v>
      </c>
      <c r="N216">
        <v>7</v>
      </c>
      <c r="O216">
        <v>79</v>
      </c>
      <c r="P216">
        <v>30</v>
      </c>
      <c r="Q216">
        <v>90</v>
      </c>
      <c r="R216" t="s">
        <v>228</v>
      </c>
      <c r="S216" t="s">
        <v>228</v>
      </c>
      <c r="T216" t="s">
        <v>229</v>
      </c>
      <c r="U216" t="s">
        <v>81</v>
      </c>
    </row>
    <row r="217" spans="1:21">
      <c r="A217">
        <v>3216</v>
      </c>
      <c r="B217" t="s">
        <v>96</v>
      </c>
      <c r="C217" t="s">
        <v>192</v>
      </c>
      <c r="D217" s="7">
        <v>34063</v>
      </c>
      <c r="E217" s="7">
        <v>46099</v>
      </c>
      <c r="F217">
        <v>1003</v>
      </c>
      <c r="G217">
        <v>2009</v>
      </c>
      <c r="H217" t="s">
        <v>21</v>
      </c>
      <c r="I217" t="s">
        <v>72</v>
      </c>
      <c r="J217" s="7"/>
      <c r="K217" t="s">
        <v>68</v>
      </c>
      <c r="L217" s="7">
        <v>46214</v>
      </c>
      <c r="M217">
        <v>5</v>
      </c>
      <c r="N217">
        <v>10</v>
      </c>
      <c r="O217">
        <v>0</v>
      </c>
      <c r="P217">
        <v>30</v>
      </c>
      <c r="Q217">
        <v>90</v>
      </c>
      <c r="R217" t="s">
        <v>229</v>
      </c>
      <c r="S217" t="s">
        <v>229</v>
      </c>
      <c r="T217" t="s">
        <v>229</v>
      </c>
      <c r="U217" t="s">
        <v>67</v>
      </c>
    </row>
    <row r="218" spans="1:21">
      <c r="A218">
        <v>3217</v>
      </c>
      <c r="B218" t="s">
        <v>148</v>
      </c>
      <c r="C218" t="s">
        <v>78</v>
      </c>
      <c r="D218" s="7">
        <v>20050</v>
      </c>
      <c r="E218" s="7">
        <v>45719</v>
      </c>
      <c r="F218">
        <v>1002</v>
      </c>
      <c r="G218">
        <v>2005</v>
      </c>
      <c r="H218" t="s">
        <v>86</v>
      </c>
      <c r="I218" t="s">
        <v>81</v>
      </c>
      <c r="J218" s="7"/>
      <c r="K218" t="s">
        <v>68</v>
      </c>
      <c r="L218" s="7">
        <v>46116</v>
      </c>
      <c r="M218">
        <v>5</v>
      </c>
      <c r="N218">
        <v>16</v>
      </c>
      <c r="O218">
        <v>98</v>
      </c>
      <c r="P218">
        <v>14</v>
      </c>
      <c r="Q218">
        <v>60</v>
      </c>
      <c r="R218" t="s">
        <v>228</v>
      </c>
      <c r="S218" t="s">
        <v>229</v>
      </c>
      <c r="T218" t="s">
        <v>228</v>
      </c>
      <c r="U218" t="s">
        <v>227</v>
      </c>
    </row>
    <row r="219" spans="1:21">
      <c r="A219">
        <v>3219</v>
      </c>
      <c r="B219" t="s">
        <v>170</v>
      </c>
      <c r="C219" t="s">
        <v>137</v>
      </c>
      <c r="D219" s="7">
        <v>20405</v>
      </c>
      <c r="E219" s="7">
        <v>45798</v>
      </c>
      <c r="F219">
        <v>1006</v>
      </c>
      <c r="G219">
        <v>2017</v>
      </c>
      <c r="H219" t="s">
        <v>21</v>
      </c>
      <c r="I219" t="s">
        <v>81</v>
      </c>
      <c r="J219" s="7"/>
      <c r="K219" t="s">
        <v>68</v>
      </c>
      <c r="L219" s="7">
        <v>46208</v>
      </c>
      <c r="M219">
        <v>9</v>
      </c>
      <c r="N219">
        <v>17</v>
      </c>
      <c r="O219">
        <v>6</v>
      </c>
      <c r="P219">
        <v>30</v>
      </c>
      <c r="Q219">
        <v>90</v>
      </c>
      <c r="R219" t="s">
        <v>229</v>
      </c>
      <c r="S219" t="s">
        <v>229</v>
      </c>
      <c r="T219" t="s">
        <v>229</v>
      </c>
      <c r="U219" t="s">
        <v>67</v>
      </c>
    </row>
    <row r="220" spans="1:21">
      <c r="A220">
        <v>3218</v>
      </c>
      <c r="B220" t="s">
        <v>92</v>
      </c>
      <c r="C220" t="s">
        <v>78</v>
      </c>
      <c r="D220" s="7">
        <v>31888</v>
      </c>
      <c r="E220" s="7">
        <v>46088</v>
      </c>
      <c r="F220">
        <v>1002</v>
      </c>
      <c r="G220">
        <v>2005</v>
      </c>
      <c r="H220" t="s">
        <v>21</v>
      </c>
      <c r="I220" t="s">
        <v>67</v>
      </c>
      <c r="J220" s="7"/>
      <c r="K220" t="s">
        <v>68</v>
      </c>
      <c r="L220" s="7"/>
      <c r="P220">
        <v>14</v>
      </c>
      <c r="Q220">
        <v>60</v>
      </c>
    </row>
    <row r="221" spans="1:21">
      <c r="A221">
        <v>3220</v>
      </c>
      <c r="B221" t="s">
        <v>171</v>
      </c>
      <c r="C221" t="s">
        <v>108</v>
      </c>
      <c r="D221" s="7">
        <v>31508</v>
      </c>
      <c r="E221" s="7">
        <v>45813</v>
      </c>
      <c r="F221">
        <v>1003</v>
      </c>
      <c r="G221">
        <v>2008</v>
      </c>
      <c r="H221" t="s">
        <v>106</v>
      </c>
      <c r="I221" t="s">
        <v>72</v>
      </c>
      <c r="J221" s="7">
        <v>45915</v>
      </c>
      <c r="K221" t="s">
        <v>121</v>
      </c>
      <c r="L221" s="7">
        <v>45888</v>
      </c>
      <c r="M221">
        <v>4</v>
      </c>
      <c r="N221">
        <v>13</v>
      </c>
      <c r="O221">
        <v>326</v>
      </c>
      <c r="P221">
        <v>30</v>
      </c>
      <c r="Q221">
        <v>90</v>
      </c>
      <c r="R221" t="s">
        <v>229</v>
      </c>
      <c r="S221" t="s">
        <v>229</v>
      </c>
      <c r="T221" t="s">
        <v>229</v>
      </c>
      <c r="U221" t="s">
        <v>106</v>
      </c>
    </row>
    <row r="222" spans="1:21">
      <c r="A222">
        <v>3221</v>
      </c>
      <c r="B222" t="s">
        <v>126</v>
      </c>
      <c r="C222" t="s">
        <v>173</v>
      </c>
      <c r="D222" s="7">
        <v>32749</v>
      </c>
      <c r="E222" s="7">
        <v>45280</v>
      </c>
      <c r="F222">
        <v>1003</v>
      </c>
      <c r="G222">
        <v>2009</v>
      </c>
      <c r="H222" t="s">
        <v>21</v>
      </c>
      <c r="I222" t="s">
        <v>67</v>
      </c>
      <c r="J222" s="7"/>
      <c r="K222" t="s">
        <v>68</v>
      </c>
      <c r="L222" s="7">
        <v>46038</v>
      </c>
      <c r="M222">
        <v>10</v>
      </c>
      <c r="N222">
        <v>16</v>
      </c>
      <c r="O222">
        <v>176</v>
      </c>
      <c r="P222">
        <v>30</v>
      </c>
      <c r="Q222">
        <v>90</v>
      </c>
      <c r="R222" t="s">
        <v>228</v>
      </c>
      <c r="S222" t="s">
        <v>229</v>
      </c>
      <c r="T222" t="s">
        <v>228</v>
      </c>
      <c r="U222" t="s">
        <v>227</v>
      </c>
    </row>
    <row r="223" spans="1:21">
      <c r="A223">
        <v>3222</v>
      </c>
      <c r="B223" t="s">
        <v>154</v>
      </c>
      <c r="C223" t="s">
        <v>173</v>
      </c>
      <c r="D223" s="7">
        <v>28526</v>
      </c>
      <c r="E223" s="7">
        <v>45746</v>
      </c>
      <c r="F223">
        <v>1002</v>
      </c>
      <c r="G223">
        <v>2006</v>
      </c>
      <c r="H223" t="s">
        <v>21</v>
      </c>
      <c r="I223" t="s">
        <v>67</v>
      </c>
      <c r="J223" s="7"/>
      <c r="K223" t="s">
        <v>68</v>
      </c>
      <c r="L223" s="7">
        <v>46116</v>
      </c>
      <c r="M223">
        <v>11</v>
      </c>
      <c r="N223">
        <v>19</v>
      </c>
      <c r="O223">
        <v>98</v>
      </c>
      <c r="P223">
        <v>14</v>
      </c>
      <c r="Q223">
        <v>60</v>
      </c>
      <c r="R223" t="s">
        <v>228</v>
      </c>
      <c r="S223" t="s">
        <v>229</v>
      </c>
      <c r="T223" t="s">
        <v>228</v>
      </c>
      <c r="U223" t="s">
        <v>227</v>
      </c>
    </row>
    <row r="224" spans="1:21">
      <c r="A224">
        <v>3223</v>
      </c>
      <c r="B224" t="s">
        <v>107</v>
      </c>
      <c r="C224" t="s">
        <v>122</v>
      </c>
      <c r="D224" s="7">
        <v>33490</v>
      </c>
      <c r="E224" s="7">
        <v>45205</v>
      </c>
      <c r="F224">
        <v>1006</v>
      </c>
      <c r="G224">
        <v>2018</v>
      </c>
      <c r="H224" t="s">
        <v>21</v>
      </c>
      <c r="I224" t="s">
        <v>67</v>
      </c>
      <c r="J224" s="7"/>
      <c r="K224" t="s">
        <v>68</v>
      </c>
      <c r="L224" s="7">
        <v>45675</v>
      </c>
      <c r="M224">
        <v>6</v>
      </c>
      <c r="N224">
        <v>17</v>
      </c>
      <c r="O224">
        <v>539</v>
      </c>
      <c r="P224">
        <v>30</v>
      </c>
      <c r="Q224">
        <v>90</v>
      </c>
      <c r="R224" t="s">
        <v>228</v>
      </c>
      <c r="S224" t="s">
        <v>229</v>
      </c>
      <c r="T224" t="s">
        <v>228</v>
      </c>
      <c r="U224" t="s">
        <v>227</v>
      </c>
    </row>
    <row r="225" spans="1:21">
      <c r="A225">
        <v>3224</v>
      </c>
      <c r="B225" t="s">
        <v>152</v>
      </c>
      <c r="C225" t="s">
        <v>111</v>
      </c>
      <c r="D225" s="7">
        <v>20718</v>
      </c>
      <c r="E225" s="7">
        <v>45272</v>
      </c>
      <c r="F225">
        <v>1003</v>
      </c>
      <c r="G225">
        <v>2009</v>
      </c>
      <c r="H225" t="s">
        <v>106</v>
      </c>
      <c r="I225" t="s">
        <v>67</v>
      </c>
      <c r="J225" s="7">
        <v>45966</v>
      </c>
      <c r="K225" t="s">
        <v>112</v>
      </c>
      <c r="L225" s="7">
        <v>45764</v>
      </c>
      <c r="M225">
        <v>2</v>
      </c>
      <c r="N225">
        <v>6</v>
      </c>
      <c r="O225">
        <v>450</v>
      </c>
      <c r="P225">
        <v>30</v>
      </c>
      <c r="Q225">
        <v>90</v>
      </c>
      <c r="R225" t="s">
        <v>229</v>
      </c>
      <c r="S225" t="s">
        <v>229</v>
      </c>
      <c r="T225" t="s">
        <v>229</v>
      </c>
      <c r="U225" t="s">
        <v>106</v>
      </c>
    </row>
    <row r="226" spans="1:21">
      <c r="A226">
        <v>3225</v>
      </c>
      <c r="B226" t="s">
        <v>182</v>
      </c>
      <c r="C226" t="s">
        <v>93</v>
      </c>
      <c r="D226" s="7">
        <v>23517</v>
      </c>
      <c r="E226" s="7">
        <v>46016</v>
      </c>
      <c r="F226">
        <v>1005</v>
      </c>
      <c r="G226">
        <v>2015</v>
      </c>
      <c r="H226" t="s">
        <v>21</v>
      </c>
      <c r="I226" t="s">
        <v>81</v>
      </c>
      <c r="J226" s="7"/>
      <c r="K226" t="s">
        <v>68</v>
      </c>
      <c r="L226" s="7">
        <v>46211</v>
      </c>
      <c r="M226">
        <v>10</v>
      </c>
      <c r="N226">
        <v>17</v>
      </c>
      <c r="O226">
        <v>3</v>
      </c>
      <c r="P226">
        <v>21</v>
      </c>
      <c r="Q226">
        <v>75</v>
      </c>
      <c r="R226" t="s">
        <v>229</v>
      </c>
      <c r="S226" t="s">
        <v>229</v>
      </c>
      <c r="T226" t="s">
        <v>229</v>
      </c>
      <c r="U226" t="s">
        <v>67</v>
      </c>
    </row>
    <row r="227" spans="1:21">
      <c r="A227">
        <v>3226</v>
      </c>
      <c r="B227" t="s">
        <v>147</v>
      </c>
      <c r="C227" t="s">
        <v>181</v>
      </c>
      <c r="D227" s="7">
        <v>31384</v>
      </c>
      <c r="E227" s="7">
        <v>45185</v>
      </c>
      <c r="F227">
        <v>1001</v>
      </c>
      <c r="G227">
        <v>2002</v>
      </c>
      <c r="H227" t="s">
        <v>86</v>
      </c>
      <c r="I227" t="s">
        <v>67</v>
      </c>
      <c r="J227" s="7"/>
      <c r="K227" t="s">
        <v>68</v>
      </c>
      <c r="L227" s="7">
        <v>46213</v>
      </c>
      <c r="M227">
        <v>2</v>
      </c>
      <c r="N227">
        <v>7</v>
      </c>
      <c r="O227">
        <v>1</v>
      </c>
      <c r="P227">
        <v>30</v>
      </c>
      <c r="Q227">
        <v>90</v>
      </c>
      <c r="R227" t="s">
        <v>229</v>
      </c>
      <c r="S227" t="s">
        <v>229</v>
      </c>
      <c r="T227" t="s">
        <v>229</v>
      </c>
      <c r="U227" t="s">
        <v>67</v>
      </c>
    </row>
    <row r="228" spans="1:21">
      <c r="A228">
        <v>3227</v>
      </c>
      <c r="B228" t="s">
        <v>152</v>
      </c>
      <c r="C228" t="s">
        <v>88</v>
      </c>
      <c r="D228" s="7">
        <v>21358</v>
      </c>
      <c r="E228" s="7">
        <v>45400</v>
      </c>
      <c r="F228">
        <v>1006</v>
      </c>
      <c r="G228">
        <v>2018</v>
      </c>
      <c r="H228" t="s">
        <v>106</v>
      </c>
      <c r="I228" t="s">
        <v>67</v>
      </c>
      <c r="J228" s="7">
        <v>45949</v>
      </c>
      <c r="K228" t="s">
        <v>76</v>
      </c>
      <c r="L228" s="7">
        <v>45927</v>
      </c>
      <c r="M228">
        <v>7</v>
      </c>
      <c r="N228">
        <v>15</v>
      </c>
      <c r="O228">
        <v>287</v>
      </c>
      <c r="P228">
        <v>30</v>
      </c>
      <c r="Q228">
        <v>90</v>
      </c>
      <c r="R228" t="s">
        <v>229</v>
      </c>
      <c r="S228" t="s">
        <v>229</v>
      </c>
      <c r="T228" t="s">
        <v>229</v>
      </c>
      <c r="U228" t="s">
        <v>106</v>
      </c>
    </row>
    <row r="229" spans="1:21">
      <c r="A229">
        <v>3228</v>
      </c>
      <c r="B229" t="s">
        <v>98</v>
      </c>
      <c r="C229" t="s">
        <v>125</v>
      </c>
      <c r="D229" s="7">
        <v>24935</v>
      </c>
      <c r="E229" s="7">
        <v>46141</v>
      </c>
      <c r="F229">
        <v>1006</v>
      </c>
      <c r="G229">
        <v>2018</v>
      </c>
      <c r="H229" t="s">
        <v>21</v>
      </c>
      <c r="I229" t="s">
        <v>67</v>
      </c>
      <c r="J229" s="7"/>
      <c r="K229" t="s">
        <v>68</v>
      </c>
      <c r="L229" s="7">
        <v>46214</v>
      </c>
      <c r="M229">
        <v>7</v>
      </c>
      <c r="N229">
        <v>11</v>
      </c>
      <c r="O229">
        <v>0</v>
      </c>
      <c r="P229">
        <v>30</v>
      </c>
      <c r="Q229">
        <v>90</v>
      </c>
      <c r="R229" t="s">
        <v>229</v>
      </c>
      <c r="S229" t="s">
        <v>229</v>
      </c>
      <c r="T229" t="s">
        <v>229</v>
      </c>
      <c r="U229" t="s">
        <v>67</v>
      </c>
    </row>
    <row r="230" spans="1:21">
      <c r="A230">
        <v>3229</v>
      </c>
      <c r="B230" t="s">
        <v>135</v>
      </c>
      <c r="C230" t="s">
        <v>80</v>
      </c>
      <c r="D230" s="7">
        <v>33462</v>
      </c>
      <c r="E230" s="7">
        <v>45558</v>
      </c>
      <c r="F230">
        <v>1005</v>
      </c>
      <c r="G230">
        <v>2013</v>
      </c>
      <c r="H230" t="s">
        <v>21</v>
      </c>
      <c r="I230" t="s">
        <v>67</v>
      </c>
      <c r="J230" s="7"/>
      <c r="K230" t="s">
        <v>68</v>
      </c>
      <c r="L230" s="7">
        <v>46109</v>
      </c>
      <c r="M230">
        <v>2</v>
      </c>
      <c r="N230">
        <v>4</v>
      </c>
      <c r="O230">
        <v>105</v>
      </c>
      <c r="P230">
        <v>21</v>
      </c>
      <c r="Q230">
        <v>75</v>
      </c>
      <c r="R230" t="s">
        <v>228</v>
      </c>
      <c r="S230" t="s">
        <v>229</v>
      </c>
      <c r="T230" t="s">
        <v>228</v>
      </c>
      <c r="U230" t="s">
        <v>227</v>
      </c>
    </row>
    <row r="231" spans="1:21">
      <c r="A231">
        <v>3230</v>
      </c>
      <c r="B231" t="s">
        <v>140</v>
      </c>
      <c r="C231" t="s">
        <v>174</v>
      </c>
      <c r="D231" s="7">
        <v>21265</v>
      </c>
      <c r="E231" s="7">
        <v>46044</v>
      </c>
      <c r="F231">
        <v>1006</v>
      </c>
      <c r="G231">
        <v>2018</v>
      </c>
      <c r="H231" t="s">
        <v>21</v>
      </c>
      <c r="I231" t="s">
        <v>67</v>
      </c>
      <c r="J231" s="7"/>
      <c r="K231" t="s">
        <v>68</v>
      </c>
      <c r="L231" s="7">
        <v>46127</v>
      </c>
      <c r="M231">
        <v>6</v>
      </c>
      <c r="N231">
        <v>7</v>
      </c>
      <c r="O231">
        <v>87</v>
      </c>
      <c r="P231">
        <v>30</v>
      </c>
      <c r="Q231">
        <v>90</v>
      </c>
      <c r="R231" t="s">
        <v>228</v>
      </c>
      <c r="S231" t="s">
        <v>228</v>
      </c>
      <c r="T231" t="s">
        <v>229</v>
      </c>
      <c r="U231" t="s">
        <v>81</v>
      </c>
    </row>
    <row r="232" spans="1:21">
      <c r="A232">
        <v>3231</v>
      </c>
      <c r="B232" t="s">
        <v>79</v>
      </c>
      <c r="C232" t="s">
        <v>175</v>
      </c>
      <c r="D232" s="7">
        <v>29311</v>
      </c>
      <c r="E232" s="7">
        <v>45830</v>
      </c>
      <c r="F232">
        <v>1004</v>
      </c>
      <c r="G232">
        <v>2011</v>
      </c>
      <c r="H232" t="s">
        <v>75</v>
      </c>
      <c r="I232" t="s">
        <v>81</v>
      </c>
      <c r="J232" s="7">
        <v>46200</v>
      </c>
      <c r="K232" t="s">
        <v>142</v>
      </c>
      <c r="L232" s="7">
        <v>46146</v>
      </c>
      <c r="M232">
        <v>7</v>
      </c>
      <c r="N232">
        <v>8</v>
      </c>
      <c r="O232">
        <v>68</v>
      </c>
      <c r="P232">
        <v>14</v>
      </c>
      <c r="Q232">
        <v>45</v>
      </c>
      <c r="R232" t="s">
        <v>229</v>
      </c>
      <c r="S232" t="s">
        <v>229</v>
      </c>
      <c r="T232" t="s">
        <v>229</v>
      </c>
      <c r="U232" t="s">
        <v>67</v>
      </c>
    </row>
    <row r="233" spans="1:21">
      <c r="A233">
        <v>3232</v>
      </c>
      <c r="B233" t="s">
        <v>128</v>
      </c>
      <c r="C233" t="s">
        <v>167</v>
      </c>
      <c r="D233" s="7">
        <v>24543</v>
      </c>
      <c r="E233" s="7">
        <v>45859</v>
      </c>
      <c r="F233">
        <v>1003</v>
      </c>
      <c r="G233">
        <v>2008</v>
      </c>
      <c r="H233" t="s">
        <v>75</v>
      </c>
      <c r="I233" t="s">
        <v>72</v>
      </c>
      <c r="J233" s="7">
        <v>46126</v>
      </c>
      <c r="K233" t="s">
        <v>91</v>
      </c>
      <c r="L233" s="7">
        <v>45917</v>
      </c>
      <c r="M233">
        <v>2</v>
      </c>
      <c r="N233">
        <v>4</v>
      </c>
      <c r="O233">
        <v>297</v>
      </c>
      <c r="P233">
        <v>30</v>
      </c>
      <c r="Q233">
        <v>90</v>
      </c>
      <c r="R233" t="s">
        <v>229</v>
      </c>
      <c r="S233" t="s">
        <v>229</v>
      </c>
      <c r="T233" t="s">
        <v>229</v>
      </c>
      <c r="U233" t="s">
        <v>67</v>
      </c>
    </row>
    <row r="234" spans="1:21">
      <c r="A234">
        <v>3233</v>
      </c>
      <c r="B234" t="s">
        <v>119</v>
      </c>
      <c r="C234" t="s">
        <v>133</v>
      </c>
      <c r="D234" s="7">
        <v>36993</v>
      </c>
      <c r="E234" s="7">
        <v>45874</v>
      </c>
      <c r="F234">
        <v>1002</v>
      </c>
      <c r="G234">
        <v>2005</v>
      </c>
      <c r="H234" t="s">
        <v>75</v>
      </c>
      <c r="I234" t="s">
        <v>67</v>
      </c>
      <c r="J234" s="7">
        <v>46120</v>
      </c>
      <c r="K234" t="s">
        <v>149</v>
      </c>
      <c r="L234" s="7">
        <v>46029</v>
      </c>
      <c r="M234">
        <v>4</v>
      </c>
      <c r="N234">
        <v>7</v>
      </c>
      <c r="O234">
        <v>185</v>
      </c>
      <c r="P234">
        <v>14</v>
      </c>
      <c r="Q234">
        <v>60</v>
      </c>
      <c r="R234" t="s">
        <v>229</v>
      </c>
      <c r="S234" t="s">
        <v>229</v>
      </c>
      <c r="T234" t="s">
        <v>229</v>
      </c>
      <c r="U234" t="s">
        <v>67</v>
      </c>
    </row>
    <row r="235" spans="1:21">
      <c r="A235">
        <v>3234</v>
      </c>
      <c r="B235" t="s">
        <v>177</v>
      </c>
      <c r="C235" t="s">
        <v>158</v>
      </c>
      <c r="D235" s="7">
        <v>34523</v>
      </c>
      <c r="E235" s="7">
        <v>46195</v>
      </c>
      <c r="F235">
        <v>1001</v>
      </c>
      <c r="G235">
        <v>2002</v>
      </c>
      <c r="H235" t="s">
        <v>21</v>
      </c>
      <c r="I235" t="s">
        <v>81</v>
      </c>
      <c r="J235" s="7"/>
      <c r="K235" t="s">
        <v>68</v>
      </c>
      <c r="L235" s="7">
        <v>46214</v>
      </c>
      <c r="M235">
        <v>4</v>
      </c>
      <c r="N235">
        <v>15</v>
      </c>
      <c r="O235">
        <v>0</v>
      </c>
      <c r="P235">
        <v>30</v>
      </c>
      <c r="Q235">
        <v>90</v>
      </c>
      <c r="R235" t="s">
        <v>229</v>
      </c>
      <c r="S235" t="s">
        <v>229</v>
      </c>
      <c r="T235" t="s">
        <v>229</v>
      </c>
      <c r="U235" t="s">
        <v>67</v>
      </c>
    </row>
    <row r="236" spans="1:21">
      <c r="A236">
        <v>3235</v>
      </c>
      <c r="B236" t="s">
        <v>132</v>
      </c>
      <c r="C236" t="s">
        <v>176</v>
      </c>
      <c r="D236" s="7">
        <v>21269</v>
      </c>
      <c r="E236" s="7">
        <v>46040</v>
      </c>
      <c r="F236">
        <v>1004</v>
      </c>
      <c r="G236">
        <v>2011</v>
      </c>
      <c r="H236" t="s">
        <v>21</v>
      </c>
      <c r="I236" t="s">
        <v>67</v>
      </c>
      <c r="J236" s="7"/>
      <c r="K236" t="s">
        <v>68</v>
      </c>
      <c r="L236" s="7">
        <v>46137</v>
      </c>
      <c r="M236">
        <v>2</v>
      </c>
      <c r="N236">
        <v>5</v>
      </c>
      <c r="O236">
        <v>77</v>
      </c>
      <c r="P236">
        <v>14</v>
      </c>
      <c r="Q236">
        <v>45</v>
      </c>
      <c r="R236" t="s">
        <v>228</v>
      </c>
      <c r="S236" t="s">
        <v>229</v>
      </c>
      <c r="T236" t="s">
        <v>228</v>
      </c>
      <c r="U236" t="s">
        <v>227</v>
      </c>
    </row>
    <row r="237" spans="1:21">
      <c r="A237">
        <v>3236</v>
      </c>
      <c r="B237" t="s">
        <v>82</v>
      </c>
      <c r="C237" t="s">
        <v>93</v>
      </c>
      <c r="D237" s="7">
        <v>36904</v>
      </c>
      <c r="E237" s="7">
        <v>45491</v>
      </c>
      <c r="F237">
        <v>1005</v>
      </c>
      <c r="G237">
        <v>2014</v>
      </c>
      <c r="H237" t="s">
        <v>21</v>
      </c>
      <c r="I237" t="s">
        <v>81</v>
      </c>
      <c r="J237" s="7"/>
      <c r="K237" t="s">
        <v>68</v>
      </c>
      <c r="L237" s="7">
        <v>46150</v>
      </c>
      <c r="M237">
        <v>5</v>
      </c>
      <c r="N237">
        <v>17</v>
      </c>
      <c r="O237">
        <v>64</v>
      </c>
      <c r="P237">
        <v>21</v>
      </c>
      <c r="Q237">
        <v>75</v>
      </c>
      <c r="R237" t="s">
        <v>228</v>
      </c>
      <c r="S237" t="s">
        <v>228</v>
      </c>
      <c r="T237" t="s">
        <v>229</v>
      </c>
      <c r="U237" t="s">
        <v>81</v>
      </c>
    </row>
    <row r="238" spans="1:21">
      <c r="A238">
        <v>3237</v>
      </c>
      <c r="B238" t="s">
        <v>123</v>
      </c>
      <c r="C238" t="s">
        <v>174</v>
      </c>
      <c r="D238" s="7">
        <v>28804</v>
      </c>
      <c r="E238" s="7">
        <v>45456</v>
      </c>
      <c r="F238">
        <v>1004</v>
      </c>
      <c r="G238">
        <v>2011</v>
      </c>
      <c r="H238" t="s">
        <v>75</v>
      </c>
      <c r="I238" t="s">
        <v>72</v>
      </c>
      <c r="J238" s="7">
        <v>45628</v>
      </c>
      <c r="K238" t="s">
        <v>76</v>
      </c>
      <c r="L238" s="7">
        <v>45627</v>
      </c>
      <c r="M238">
        <v>3</v>
      </c>
      <c r="N238">
        <v>5</v>
      </c>
      <c r="O238">
        <v>587</v>
      </c>
      <c r="P238">
        <v>14</v>
      </c>
      <c r="Q238">
        <v>45</v>
      </c>
      <c r="R238" t="s">
        <v>229</v>
      </c>
      <c r="S238" t="s">
        <v>229</v>
      </c>
      <c r="T238" t="s">
        <v>229</v>
      </c>
      <c r="U238" t="s">
        <v>67</v>
      </c>
    </row>
    <row r="239" spans="1:21">
      <c r="A239">
        <v>3238</v>
      </c>
      <c r="B239" t="s">
        <v>96</v>
      </c>
      <c r="C239" t="s">
        <v>114</v>
      </c>
      <c r="D239" s="7">
        <v>28146</v>
      </c>
      <c r="E239" s="7">
        <v>45280</v>
      </c>
      <c r="F239">
        <v>1002</v>
      </c>
      <c r="G239">
        <v>2006</v>
      </c>
      <c r="H239" t="s">
        <v>106</v>
      </c>
      <c r="I239" t="s">
        <v>72</v>
      </c>
      <c r="J239" s="7">
        <v>45543</v>
      </c>
      <c r="K239" t="s">
        <v>91</v>
      </c>
      <c r="L239" s="7">
        <v>45464</v>
      </c>
      <c r="M239">
        <v>5</v>
      </c>
      <c r="N239">
        <v>9</v>
      </c>
      <c r="O239">
        <v>750</v>
      </c>
      <c r="P239">
        <v>14</v>
      </c>
      <c r="Q239">
        <v>60</v>
      </c>
      <c r="R239" t="s">
        <v>229</v>
      </c>
      <c r="S239" t="s">
        <v>229</v>
      </c>
      <c r="T239" t="s">
        <v>229</v>
      </c>
      <c r="U239" t="s">
        <v>106</v>
      </c>
    </row>
    <row r="240" spans="1:21">
      <c r="A240">
        <v>3239</v>
      </c>
      <c r="B240" t="s">
        <v>110</v>
      </c>
      <c r="C240" t="s">
        <v>97</v>
      </c>
      <c r="D240" s="7">
        <v>21900</v>
      </c>
      <c r="E240" s="7">
        <v>46148</v>
      </c>
      <c r="F240">
        <v>1003</v>
      </c>
      <c r="G240">
        <v>2007</v>
      </c>
      <c r="H240" t="s">
        <v>21</v>
      </c>
      <c r="I240" t="s">
        <v>72</v>
      </c>
      <c r="J240" s="7"/>
      <c r="K240" t="s">
        <v>68</v>
      </c>
      <c r="L240" s="7">
        <v>46195</v>
      </c>
      <c r="M240">
        <v>4</v>
      </c>
      <c r="N240">
        <v>14</v>
      </c>
      <c r="O240">
        <v>19</v>
      </c>
      <c r="P240">
        <v>30</v>
      </c>
      <c r="Q240">
        <v>90</v>
      </c>
      <c r="R240" t="s">
        <v>229</v>
      </c>
      <c r="S240" t="s">
        <v>229</v>
      </c>
      <c r="T240" t="s">
        <v>229</v>
      </c>
      <c r="U240" t="s">
        <v>67</v>
      </c>
    </row>
    <row r="241" spans="1:21">
      <c r="A241">
        <v>3240</v>
      </c>
      <c r="B241" t="s">
        <v>161</v>
      </c>
      <c r="C241" t="s">
        <v>90</v>
      </c>
      <c r="D241" s="7">
        <v>38668</v>
      </c>
      <c r="E241" s="7">
        <v>45810</v>
      </c>
      <c r="F241">
        <v>1005</v>
      </c>
      <c r="G241">
        <v>2015</v>
      </c>
      <c r="H241" t="s">
        <v>21</v>
      </c>
      <c r="I241" t="s">
        <v>72</v>
      </c>
      <c r="J241" s="7"/>
      <c r="K241" t="s">
        <v>68</v>
      </c>
      <c r="L241" s="7">
        <v>46181</v>
      </c>
      <c r="M241">
        <v>5</v>
      </c>
      <c r="N241">
        <v>14</v>
      </c>
      <c r="O241">
        <v>33</v>
      </c>
      <c r="P241">
        <v>21</v>
      </c>
      <c r="Q241">
        <v>75</v>
      </c>
      <c r="R241" t="s">
        <v>228</v>
      </c>
      <c r="S241" t="s">
        <v>229</v>
      </c>
      <c r="T241" t="s">
        <v>229</v>
      </c>
      <c r="U241" t="s">
        <v>72</v>
      </c>
    </row>
    <row r="242" spans="1:21">
      <c r="A242">
        <v>3241</v>
      </c>
      <c r="B242" t="s">
        <v>110</v>
      </c>
      <c r="C242" t="s">
        <v>74</v>
      </c>
      <c r="D242" s="7">
        <v>37738</v>
      </c>
      <c r="E242" s="7">
        <v>45661</v>
      </c>
      <c r="F242">
        <v>1001</v>
      </c>
      <c r="G242">
        <v>2002</v>
      </c>
      <c r="H242" t="s">
        <v>21</v>
      </c>
      <c r="I242" t="s">
        <v>81</v>
      </c>
      <c r="J242" s="7"/>
      <c r="K242" t="s">
        <v>68</v>
      </c>
      <c r="L242" s="7">
        <v>46159</v>
      </c>
      <c r="M242">
        <v>4</v>
      </c>
      <c r="N242">
        <v>9</v>
      </c>
      <c r="O242">
        <v>55</v>
      </c>
      <c r="P242">
        <v>30</v>
      </c>
      <c r="Q242">
        <v>90</v>
      </c>
      <c r="R242" t="s">
        <v>228</v>
      </c>
      <c r="S242" t="s">
        <v>229</v>
      </c>
      <c r="T242" t="s">
        <v>229</v>
      </c>
      <c r="U242" t="s">
        <v>81</v>
      </c>
    </row>
    <row r="243" spans="1:21">
      <c r="A243">
        <v>3242</v>
      </c>
      <c r="B243" t="s">
        <v>110</v>
      </c>
      <c r="C243" t="s">
        <v>150</v>
      </c>
      <c r="D243" s="7">
        <v>39389</v>
      </c>
      <c r="E243" s="7">
        <v>45712</v>
      </c>
      <c r="F243">
        <v>1005</v>
      </c>
      <c r="G243">
        <v>2014</v>
      </c>
      <c r="H243" t="s">
        <v>21</v>
      </c>
      <c r="I243" t="s">
        <v>67</v>
      </c>
      <c r="J243" s="7"/>
      <c r="K243" t="s">
        <v>68</v>
      </c>
      <c r="L243" s="7">
        <v>46208</v>
      </c>
      <c r="M243">
        <v>10</v>
      </c>
      <c r="N243">
        <v>18</v>
      </c>
      <c r="O243">
        <v>6</v>
      </c>
      <c r="P243">
        <v>21</v>
      </c>
      <c r="Q243">
        <v>75</v>
      </c>
      <c r="R243" t="s">
        <v>229</v>
      </c>
      <c r="S243" t="s">
        <v>229</v>
      </c>
      <c r="T243" t="s">
        <v>229</v>
      </c>
      <c r="U243" t="s">
        <v>67</v>
      </c>
    </row>
    <row r="244" spans="1:21">
      <c r="A244">
        <v>3243</v>
      </c>
      <c r="B244" t="s">
        <v>117</v>
      </c>
      <c r="C244" t="s">
        <v>97</v>
      </c>
      <c r="D244" s="7">
        <v>28585</v>
      </c>
      <c r="E244" s="7">
        <v>46047</v>
      </c>
      <c r="F244">
        <v>1004</v>
      </c>
      <c r="G244">
        <v>2011</v>
      </c>
      <c r="H244" t="s">
        <v>75</v>
      </c>
      <c r="I244" t="s">
        <v>72</v>
      </c>
      <c r="J244" s="7">
        <v>46072</v>
      </c>
      <c r="K244" t="s">
        <v>112</v>
      </c>
      <c r="L244" s="7">
        <v>46072</v>
      </c>
      <c r="M244">
        <v>6</v>
      </c>
      <c r="N244">
        <v>9</v>
      </c>
      <c r="O244">
        <v>142</v>
      </c>
      <c r="P244">
        <v>14</v>
      </c>
      <c r="Q244">
        <v>45</v>
      </c>
      <c r="R244" t="s">
        <v>229</v>
      </c>
      <c r="S244" t="s">
        <v>229</v>
      </c>
      <c r="T244" t="s">
        <v>229</v>
      </c>
      <c r="U244" t="s">
        <v>67</v>
      </c>
    </row>
    <row r="245" spans="1:21">
      <c r="A245">
        <v>3244</v>
      </c>
      <c r="B245" t="s">
        <v>163</v>
      </c>
      <c r="C245" t="s">
        <v>122</v>
      </c>
      <c r="D245" s="7">
        <v>38718</v>
      </c>
      <c r="E245" s="7">
        <v>45413</v>
      </c>
      <c r="F245">
        <v>1004</v>
      </c>
      <c r="G245">
        <v>2012</v>
      </c>
      <c r="H245" t="s">
        <v>21</v>
      </c>
      <c r="I245" t="s">
        <v>67</v>
      </c>
      <c r="J245" s="7"/>
      <c r="K245" t="s">
        <v>68</v>
      </c>
      <c r="L245" s="7">
        <v>45857</v>
      </c>
      <c r="M245">
        <v>3</v>
      </c>
      <c r="N245">
        <v>9</v>
      </c>
      <c r="O245">
        <v>357</v>
      </c>
      <c r="P245">
        <v>14</v>
      </c>
      <c r="Q245">
        <v>45</v>
      </c>
      <c r="R245" t="s">
        <v>228</v>
      </c>
      <c r="S245" t="s">
        <v>229</v>
      </c>
      <c r="T245" t="s">
        <v>228</v>
      </c>
      <c r="U245" t="s">
        <v>227</v>
      </c>
    </row>
    <row r="246" spans="1:21">
      <c r="A246">
        <v>3245</v>
      </c>
      <c r="B246" t="s">
        <v>103</v>
      </c>
      <c r="C246" t="s">
        <v>111</v>
      </c>
      <c r="D246" s="7">
        <v>31904</v>
      </c>
      <c r="E246" s="7">
        <v>45386</v>
      </c>
      <c r="F246">
        <v>1006</v>
      </c>
      <c r="G246">
        <v>2018</v>
      </c>
      <c r="H246" t="s">
        <v>86</v>
      </c>
      <c r="I246" t="s">
        <v>81</v>
      </c>
      <c r="J246" s="7"/>
      <c r="K246" t="s">
        <v>68</v>
      </c>
      <c r="L246" s="7">
        <v>46110</v>
      </c>
      <c r="M246">
        <v>6</v>
      </c>
      <c r="N246">
        <v>8</v>
      </c>
      <c r="O246">
        <v>104</v>
      </c>
      <c r="P246">
        <v>30</v>
      </c>
      <c r="Q246">
        <v>90</v>
      </c>
      <c r="R246" t="s">
        <v>228</v>
      </c>
      <c r="S246" t="s">
        <v>229</v>
      </c>
      <c r="T246" t="s">
        <v>228</v>
      </c>
      <c r="U246" t="s">
        <v>227</v>
      </c>
    </row>
    <row r="247" spans="1:21">
      <c r="A247">
        <v>3246</v>
      </c>
      <c r="B247" t="s">
        <v>154</v>
      </c>
      <c r="C247" t="s">
        <v>193</v>
      </c>
      <c r="D247" s="7">
        <v>22853</v>
      </c>
      <c r="E247" s="7">
        <v>45666</v>
      </c>
      <c r="F247">
        <v>1005</v>
      </c>
      <c r="G247">
        <v>2015</v>
      </c>
      <c r="H247" t="s">
        <v>21</v>
      </c>
      <c r="I247" t="s">
        <v>67</v>
      </c>
      <c r="J247" s="7"/>
      <c r="K247" t="s">
        <v>68</v>
      </c>
      <c r="L247" s="7">
        <v>46205</v>
      </c>
      <c r="M247">
        <v>8</v>
      </c>
      <c r="N247">
        <v>9</v>
      </c>
      <c r="O247">
        <v>9</v>
      </c>
      <c r="P247">
        <v>21</v>
      </c>
      <c r="Q247">
        <v>75</v>
      </c>
      <c r="R247" t="s">
        <v>229</v>
      </c>
      <c r="S247" t="s">
        <v>229</v>
      </c>
      <c r="T247" t="s">
        <v>229</v>
      </c>
      <c r="U247" t="s">
        <v>67</v>
      </c>
    </row>
    <row r="248" spans="1:21">
      <c r="A248">
        <v>3247</v>
      </c>
      <c r="B248" t="s">
        <v>166</v>
      </c>
      <c r="C248" t="s">
        <v>122</v>
      </c>
      <c r="D248" s="7">
        <v>39003</v>
      </c>
      <c r="E248" s="7">
        <v>45975</v>
      </c>
      <c r="F248">
        <v>1002</v>
      </c>
      <c r="G248">
        <v>2005</v>
      </c>
      <c r="H248" t="s">
        <v>21</v>
      </c>
      <c r="I248" t="s">
        <v>81</v>
      </c>
      <c r="J248" s="7"/>
      <c r="K248" t="s">
        <v>68</v>
      </c>
      <c r="L248" s="7">
        <v>46196</v>
      </c>
      <c r="M248">
        <v>3</v>
      </c>
      <c r="N248">
        <v>5</v>
      </c>
      <c r="O248">
        <v>18</v>
      </c>
      <c r="P248">
        <v>14</v>
      </c>
      <c r="Q248">
        <v>60</v>
      </c>
      <c r="R248" t="s">
        <v>228</v>
      </c>
      <c r="S248" t="s">
        <v>229</v>
      </c>
      <c r="T248" t="s">
        <v>229</v>
      </c>
      <c r="U248" t="s">
        <v>81</v>
      </c>
    </row>
    <row r="249" spans="1:21">
      <c r="A249">
        <v>3248</v>
      </c>
      <c r="B249" t="s">
        <v>132</v>
      </c>
      <c r="C249" t="s">
        <v>108</v>
      </c>
      <c r="D249" s="7">
        <v>25059</v>
      </c>
      <c r="E249" s="7">
        <v>45445</v>
      </c>
      <c r="F249">
        <v>1002</v>
      </c>
      <c r="G249">
        <v>2006</v>
      </c>
      <c r="H249" t="s">
        <v>106</v>
      </c>
      <c r="I249" t="s">
        <v>72</v>
      </c>
      <c r="J249" s="7">
        <v>45962</v>
      </c>
      <c r="K249" t="s">
        <v>149</v>
      </c>
      <c r="L249" s="7">
        <v>45877</v>
      </c>
      <c r="M249">
        <v>3</v>
      </c>
      <c r="N249">
        <v>6</v>
      </c>
      <c r="O249">
        <v>337</v>
      </c>
      <c r="P249">
        <v>14</v>
      </c>
      <c r="Q249">
        <v>60</v>
      </c>
      <c r="R249" t="s">
        <v>229</v>
      </c>
      <c r="S249" t="s">
        <v>229</v>
      </c>
      <c r="T249" t="s">
        <v>229</v>
      </c>
      <c r="U249" t="s">
        <v>106</v>
      </c>
    </row>
    <row r="250" spans="1:21">
      <c r="A250">
        <v>3249</v>
      </c>
      <c r="B250" t="s">
        <v>166</v>
      </c>
      <c r="C250" t="s">
        <v>74</v>
      </c>
      <c r="D250" s="7">
        <v>35401</v>
      </c>
      <c r="E250" s="7">
        <v>46055</v>
      </c>
      <c r="F250">
        <v>1003</v>
      </c>
      <c r="G250">
        <v>2008</v>
      </c>
      <c r="H250" t="s">
        <v>21</v>
      </c>
      <c r="I250" t="s">
        <v>81</v>
      </c>
      <c r="J250" s="7"/>
      <c r="K250" t="s">
        <v>68</v>
      </c>
      <c r="L250" s="7">
        <v>46198</v>
      </c>
      <c r="M250">
        <v>6</v>
      </c>
      <c r="N250">
        <v>20</v>
      </c>
      <c r="O250">
        <v>16</v>
      </c>
      <c r="P250">
        <v>30</v>
      </c>
      <c r="Q250">
        <v>90</v>
      </c>
      <c r="R250" t="s">
        <v>229</v>
      </c>
      <c r="S250" t="s">
        <v>229</v>
      </c>
      <c r="T250" t="s">
        <v>229</v>
      </c>
      <c r="U250" t="s">
        <v>67</v>
      </c>
    </row>
    <row r="251" spans="1:21">
      <c r="A251">
        <v>3250</v>
      </c>
      <c r="B251" t="s">
        <v>153</v>
      </c>
      <c r="C251" t="s">
        <v>175</v>
      </c>
      <c r="D251" s="7">
        <v>38418</v>
      </c>
      <c r="E251" s="7">
        <v>46082</v>
      </c>
      <c r="F251">
        <v>1005</v>
      </c>
      <c r="G251">
        <v>2014</v>
      </c>
      <c r="H251" t="s">
        <v>21</v>
      </c>
      <c r="I251" t="s">
        <v>67</v>
      </c>
      <c r="J251" s="7"/>
      <c r="K251" t="s">
        <v>68</v>
      </c>
      <c r="L251" s="7">
        <v>46172</v>
      </c>
      <c r="M251">
        <v>2</v>
      </c>
      <c r="N251">
        <v>8</v>
      </c>
      <c r="O251">
        <v>42</v>
      </c>
      <c r="P251">
        <v>21</v>
      </c>
      <c r="Q251">
        <v>75</v>
      </c>
      <c r="R251" t="s">
        <v>228</v>
      </c>
      <c r="S251" t="s">
        <v>229</v>
      </c>
      <c r="T251" t="s">
        <v>229</v>
      </c>
      <c r="U251" t="s">
        <v>72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B8C04-5ECE-4E41-9683-5AEFA22DFCA0}">
  <dimension ref="A1:W15"/>
  <sheetViews>
    <sheetView topLeftCell="E7" workbookViewId="0">
      <selection activeCell="T1" sqref="T1:V15"/>
    </sheetView>
  </sheetViews>
  <sheetFormatPr defaultRowHeight="15"/>
  <cols>
    <col min="2" max="2" width="11.5703125" bestFit="1" customWidth="1"/>
    <col min="4" max="4" width="14.42578125" customWidth="1"/>
    <col min="6" max="6" width="14.42578125" customWidth="1"/>
    <col min="7" max="7" width="29.28515625" bestFit="1" customWidth="1"/>
    <col min="8" max="8" width="6.5703125" bestFit="1" customWidth="1"/>
    <col min="9" max="9" width="8.28515625" bestFit="1" customWidth="1"/>
    <col min="10" max="10" width="7.140625" bestFit="1" customWidth="1"/>
    <col min="16" max="16" width="9.7109375" bestFit="1" customWidth="1"/>
    <col min="17" max="17" width="16.140625" customWidth="1"/>
    <col min="19" max="19" width="7.42578125" bestFit="1" customWidth="1"/>
    <col min="20" max="20" width="15.85546875" bestFit="1" customWidth="1"/>
    <col min="21" max="21" width="12.42578125" bestFit="1" customWidth="1"/>
    <col min="22" max="22" width="8.42578125" bestFit="1" customWidth="1"/>
    <col min="23" max="23" width="10.28515625" style="85" bestFit="1" customWidth="1"/>
  </cols>
  <sheetData>
    <row r="1" spans="1:23" ht="30">
      <c r="A1" s="8" t="s">
        <v>231</v>
      </c>
      <c r="B1" s="9" t="s">
        <v>1</v>
      </c>
      <c r="C1" s="9" t="s">
        <v>232</v>
      </c>
      <c r="D1" s="10" t="s">
        <v>2</v>
      </c>
      <c r="F1" s="81" t="s">
        <v>269</v>
      </c>
      <c r="G1" s="81" t="s">
        <v>16</v>
      </c>
      <c r="H1" s="81" t="s">
        <v>21</v>
      </c>
      <c r="I1" s="81" t="s">
        <v>86</v>
      </c>
      <c r="J1" s="81" t="s">
        <v>270</v>
      </c>
      <c r="L1" s="81" t="s">
        <v>272</v>
      </c>
      <c r="M1" s="81" t="s">
        <v>273</v>
      </c>
      <c r="P1" s="84" t="s">
        <v>274</v>
      </c>
      <c r="Q1" s="84" t="s">
        <v>275</v>
      </c>
      <c r="S1" s="84" t="s">
        <v>276</v>
      </c>
      <c r="T1" s="84" t="s">
        <v>28</v>
      </c>
      <c r="U1" s="84" t="s">
        <v>270</v>
      </c>
      <c r="V1" s="84" t="s">
        <v>277</v>
      </c>
      <c r="W1" s="86" t="s">
        <v>278</v>
      </c>
    </row>
    <row r="2" spans="1:23" ht="45">
      <c r="A2" s="11" t="s">
        <v>233</v>
      </c>
      <c r="B2" s="12">
        <f>ROWS(tblClientSummary[])</f>
        <v>250</v>
      </c>
      <c r="C2" s="12" t="s">
        <v>234</v>
      </c>
      <c r="D2" s="13" t="s">
        <v>235</v>
      </c>
      <c r="F2" cm="1">
        <f t="array" ref="F2:F7">_xlfn._xlws.SORT(_xlfn._xlws.FILTER(tblPrograms[ProgramID],tblPrograms[Status]="Active"))</f>
        <v>1001</v>
      </c>
      <c r="G2" t="str" cm="1">
        <f t="array" ref="G2:G7">_xlfn.XLOOKUP(_xlfn.ANCHORARRAY(F2),tblPrograms[ProgramID],tblPrograms[Program Name])</f>
        <v>Community Support</v>
      </c>
      <c r="H2" cm="1">
        <f t="array" ref="H2:H7">COUNTIFS(tblClientSummary[ProgramID],_xlfn.ANCHORARRAY(F2),tblClientSummary[ClientStatus],"Active")</f>
        <v>32</v>
      </c>
      <c r="I2" cm="1">
        <f t="array" ref="I2:I7">COUNTIFS(tblClientSummary[ProgramID],_xlfn.ANCHORARRAY(F2),tblClientSummary[ClientStatus],"Pending")</f>
        <v>2</v>
      </c>
      <c r="J2" cm="1">
        <f t="array" ref="J2:J7">_xlfn.ANCHORARRAY(H2)+_xlfn.ANCHORARRAY(I2)</f>
        <v>34</v>
      </c>
      <c r="L2" t="s">
        <v>227</v>
      </c>
      <c r="M2">
        <f>COUNTIF(tblClientSummary[OperationalPriority],L2)</f>
        <v>79</v>
      </c>
      <c r="P2" s="83" cm="1">
        <f t="array" ref="P2:P13">_xlfn.LET(
    _xlpm.d,IFERROR(--tblContacts[ContactDate],""),
    _xlpm.validDates,_xlfn._xlws.FILTER(_xlpm.d,_xlpm.d&lt;&gt;""),
    _xlpm.months,_xlfn._xlws.SORT(_xlfn.UNIQUE(DATE(YEAR(_xlpm.validDates),MONTH(_xlpm.validDates),1))),
    _xlfn.TAKE(_xlpm.months,-MIN(12,ROWS(_xlpm.months)))
)</f>
        <v>45870</v>
      </c>
      <c r="Q2" cm="1">
        <f t="array" ref="Q2:Q13">_xlfn.LET(
    _xlpm.d,IFERROR(--tblContacts[ContactDate],0),
    _xlfn.MAP(_xlfn.ANCHORARRAY(
        P2),
        _xlfn.LAMBDA(_xlpm.m,
            SUMPRODUCT(
                --(_xlpm.d&gt;=_xlpm.m),
                --(_xlpm.d&lt;EDATE(_xlpm.m,1))
            )
        )
    )
)</f>
        <v>79</v>
      </c>
      <c r="S2" cm="1">
        <f t="array" ref="S2:S15">_xlfn._xlws.SORT(_xlfn._xlws.FILTER(tblStaff[StaffID],(tblStaff[Employment Status]="Active")*(tblStaff[Capacity Target]&gt;0)))</f>
        <v>2002</v>
      </c>
      <c r="T2" t="str" cm="1">
        <f t="array" ref="T2:T15">_xlfn.XLOOKUP(_xlfn.ANCHORARRAY(S2),tblStaff[StaffID],tblStaff[Staff Name],"Not Found")</f>
        <v>Ethan Brooks</v>
      </c>
      <c r="U2" cm="1">
        <f t="array" ref="U2:U15">COUNTIFS(tblClientSummary[AssignedStaffID],_xlfn.ANCHORARRAY(S2),tblClientSummary[ClientStatus],"Active")
+COUNTIFS(tblClientSummary[AssignedStaffID],_xlfn.ANCHORARRAY(S2),tblClientSummary[ClientStatus],"Pending")</f>
        <v>15</v>
      </c>
      <c r="V2" cm="1">
        <f t="array" ref="V2:V15">_xlfn.XLOOKUP(_xlfn.ANCHORARRAY(S2),tblStaff[StaffID],tblStaff[Capacity Target],0)</f>
        <v>22</v>
      </c>
      <c r="W2" s="85" cm="1">
        <f t="array" ref="W2:W15">IFERROR(_xlfn.ANCHORARRAY(U2)/_xlfn.ANCHORARRAY(V2),0)</f>
        <v>0.68181818181818177</v>
      </c>
    </row>
    <row r="3" spans="1:23" ht="45">
      <c r="A3" s="14" t="s">
        <v>236</v>
      </c>
      <c r="B3" s="15">
        <f>COUNTIF(tblClientSummary[ClientStatus],"Active")</f>
        <v>179</v>
      </c>
      <c r="C3" s="15" t="s">
        <v>234</v>
      </c>
      <c r="D3" s="16" t="s">
        <v>237</v>
      </c>
      <c r="F3">
        <v>1002</v>
      </c>
      <c r="G3" t="str">
        <v>Housing Navigation</v>
      </c>
      <c r="H3">
        <v>30</v>
      </c>
      <c r="I3">
        <v>3</v>
      </c>
      <c r="J3">
        <v>33</v>
      </c>
      <c r="L3" t="s">
        <v>81</v>
      </c>
      <c r="M3">
        <f>COUNTIF(tblClientSummary[OperationalPriority],L3)</f>
        <v>24</v>
      </c>
      <c r="P3" s="83">
        <v>45901</v>
      </c>
      <c r="Q3">
        <v>106</v>
      </c>
      <c r="S3">
        <v>2003</v>
      </c>
      <c r="T3" t="str">
        <v>Sofia Ramirez</v>
      </c>
      <c r="U3">
        <v>19</v>
      </c>
      <c r="V3">
        <v>28</v>
      </c>
      <c r="W3" s="85">
        <v>0.6785714285714286</v>
      </c>
    </row>
    <row r="4" spans="1:23" ht="45">
      <c r="A4" s="11" t="s">
        <v>238</v>
      </c>
      <c r="B4" s="12">
        <f>COUNTIF(tblClientSummary[ClientStatus],"Pending")</f>
        <v>24</v>
      </c>
      <c r="C4" s="12" t="s">
        <v>234</v>
      </c>
      <c r="D4" s="13" t="s">
        <v>239</v>
      </c>
      <c r="F4">
        <v>1003</v>
      </c>
      <c r="G4" t="str">
        <v>Employment Services</v>
      </c>
      <c r="H4">
        <v>33</v>
      </c>
      <c r="I4">
        <v>5</v>
      </c>
      <c r="J4">
        <v>38</v>
      </c>
      <c r="L4" t="s">
        <v>72</v>
      </c>
      <c r="M4">
        <f>COUNTIF(tblClientSummary[OperationalPriority],L4)</f>
        <v>33</v>
      </c>
      <c r="P4" s="83">
        <v>45931</v>
      </c>
      <c r="Q4">
        <v>99</v>
      </c>
      <c r="S4">
        <v>2005</v>
      </c>
      <c r="T4" t="str">
        <v>Aisha Patel</v>
      </c>
      <c r="U4">
        <v>20</v>
      </c>
      <c r="V4">
        <v>20</v>
      </c>
      <c r="W4" s="85">
        <v>1</v>
      </c>
    </row>
    <row r="5" spans="1:23" ht="45">
      <c r="A5" s="14" t="s">
        <v>240</v>
      </c>
      <c r="B5" s="15">
        <f>COUNTIF(tblClientSummary[ClientStatus],"Closed")</f>
        <v>27</v>
      </c>
      <c r="C5" s="15" t="s">
        <v>234</v>
      </c>
      <c r="D5" s="16" t="s">
        <v>241</v>
      </c>
      <c r="F5">
        <v>1004</v>
      </c>
      <c r="G5" t="str">
        <v>Behavioral Health Coordination</v>
      </c>
      <c r="H5">
        <v>20</v>
      </c>
      <c r="I5">
        <v>7</v>
      </c>
      <c r="J5">
        <v>27</v>
      </c>
      <c r="L5" t="s">
        <v>67</v>
      </c>
      <c r="M5">
        <f>COUNTIF(tblClientSummary[OperationalPriority],L5)</f>
        <v>85</v>
      </c>
      <c r="P5" s="83">
        <v>45962</v>
      </c>
      <c r="Q5">
        <v>124</v>
      </c>
      <c r="S5">
        <v>2006</v>
      </c>
      <c r="T5" t="str">
        <v>Marcus Reed</v>
      </c>
      <c r="U5">
        <v>13</v>
      </c>
      <c r="V5">
        <v>25</v>
      </c>
      <c r="W5" s="85">
        <v>0.52</v>
      </c>
    </row>
    <row r="6" spans="1:23" ht="60">
      <c r="A6" s="11" t="s">
        <v>242</v>
      </c>
      <c r="B6" s="12">
        <f>COUNTIF(tblClientSummary[OperationalPriority],"Critical")</f>
        <v>79</v>
      </c>
      <c r="C6" s="12" t="s">
        <v>234</v>
      </c>
      <c r="D6" s="13" t="s">
        <v>243</v>
      </c>
      <c r="F6">
        <v>1005</v>
      </c>
      <c r="G6" t="str">
        <v>Family Stabilization</v>
      </c>
      <c r="H6">
        <v>37</v>
      </c>
      <c r="I6">
        <v>3</v>
      </c>
      <c r="J6">
        <v>40</v>
      </c>
      <c r="P6" s="83">
        <v>45992</v>
      </c>
      <c r="Q6">
        <v>137</v>
      </c>
      <c r="S6">
        <v>2007</v>
      </c>
      <c r="T6" t="str">
        <v>Lauren Bennett</v>
      </c>
      <c r="U6">
        <v>16</v>
      </c>
      <c r="V6">
        <v>15</v>
      </c>
      <c r="W6" s="85">
        <v>1.0666666666666667</v>
      </c>
    </row>
    <row r="7" spans="1:23" ht="60">
      <c r="A7" s="14" t="s">
        <v>244</v>
      </c>
      <c r="B7" s="15">
        <f>COUNTIF(tblClientSummary[OperationalPriority],"High")</f>
        <v>24</v>
      </c>
      <c r="C7" s="15" t="s">
        <v>234</v>
      </c>
      <c r="D7" s="16" t="s">
        <v>245</v>
      </c>
      <c r="F7">
        <v>1006</v>
      </c>
      <c r="G7" t="str">
        <v>Transition Services</v>
      </c>
      <c r="H7">
        <v>27</v>
      </c>
      <c r="I7">
        <v>4</v>
      </c>
      <c r="J7">
        <v>31</v>
      </c>
      <c r="P7" s="83">
        <v>46023</v>
      </c>
      <c r="Q7">
        <v>140</v>
      </c>
      <c r="S7">
        <v>2008</v>
      </c>
      <c r="T7" t="str">
        <v>Noah Williams</v>
      </c>
      <c r="U7">
        <v>10</v>
      </c>
      <c r="V7">
        <v>30</v>
      </c>
      <c r="W7" s="85">
        <v>0.33333333333333331</v>
      </c>
    </row>
    <row r="8" spans="1:23" ht="60">
      <c r="A8" s="11" t="s">
        <v>246</v>
      </c>
      <c r="B8" s="12">
        <f>COUNTIF(tblClientSummary[FollowUpRequired],"Yes")</f>
        <v>136</v>
      </c>
      <c r="C8" s="12" t="s">
        <v>234</v>
      </c>
      <c r="D8" s="13" t="s">
        <v>247</v>
      </c>
      <c r="P8" s="83">
        <v>46054</v>
      </c>
      <c r="Q8">
        <v>148</v>
      </c>
      <c r="S8">
        <v>2009</v>
      </c>
      <c r="T8" t="str">
        <v>Chloe Nguyen</v>
      </c>
      <c r="U8">
        <v>12</v>
      </c>
      <c r="V8">
        <v>30</v>
      </c>
      <c r="W8" s="85">
        <v>0.4</v>
      </c>
    </row>
    <row r="9" spans="1:23" ht="75">
      <c r="A9" s="14" t="s">
        <v>248</v>
      </c>
      <c r="B9" s="15">
        <f>COUNTIF(tblClientSummary[NeedsInactivityReview],"Yes")</f>
        <v>79</v>
      </c>
      <c r="C9" s="15" t="s">
        <v>234</v>
      </c>
      <c r="D9" s="16" t="s">
        <v>249</v>
      </c>
      <c r="F9" s="21" t="s">
        <v>271</v>
      </c>
      <c r="P9" s="83">
        <v>46082</v>
      </c>
      <c r="Q9">
        <v>171</v>
      </c>
      <c r="S9">
        <v>2011</v>
      </c>
      <c r="T9" t="str">
        <v>Gabriel Martinez</v>
      </c>
      <c r="U9">
        <v>13</v>
      </c>
      <c r="V9">
        <v>18</v>
      </c>
      <c r="W9" s="85">
        <v>0.72222222222222221</v>
      </c>
    </row>
    <row r="10" spans="1:23" ht="60">
      <c r="A10" s="11" t="s">
        <v>250</v>
      </c>
      <c r="B10" s="12" cm="1">
        <f t="array" ref="B10">IFERROR(AVERAGE(_xlfn._xlws.FILTER(tblClientSummary[DaysSinceContact],(tblClientSummary[ClientStatus]="Active")+(tblClientSummary[ClientStatus]="Pending"))),0)</f>
        <v>96.49751243781094</v>
      </c>
      <c r="C10" s="12" t="s">
        <v>234</v>
      </c>
      <c r="D10" s="13" t="s">
        <v>251</v>
      </c>
      <c r="P10" s="83">
        <v>46113</v>
      </c>
      <c r="Q10">
        <v>154</v>
      </c>
      <c r="S10">
        <v>2012</v>
      </c>
      <c r="T10" t="str">
        <v>Hannah Lee</v>
      </c>
      <c r="U10">
        <v>14</v>
      </c>
      <c r="V10">
        <v>22</v>
      </c>
      <c r="W10" s="85">
        <v>0.63636363636363635</v>
      </c>
    </row>
    <row r="11" spans="1:23" ht="45">
      <c r="A11" s="14" t="s">
        <v>252</v>
      </c>
      <c r="B11" s="15">
        <f>ROWS(tblContacts[ContactID])</f>
        <v>2923</v>
      </c>
      <c r="C11" s="15" t="s">
        <v>253</v>
      </c>
      <c r="D11" s="16" t="s">
        <v>254</v>
      </c>
      <c r="P11" s="83">
        <v>46143</v>
      </c>
      <c r="Q11">
        <v>245</v>
      </c>
      <c r="S11">
        <v>2013</v>
      </c>
      <c r="T11" t="str">
        <v>Jordan Price</v>
      </c>
      <c r="U11">
        <v>14</v>
      </c>
      <c r="V11">
        <v>15</v>
      </c>
      <c r="W11" s="85">
        <v>0.93333333333333335</v>
      </c>
    </row>
    <row r="12" spans="1:23" ht="45">
      <c r="A12" s="11" t="s">
        <v>255</v>
      </c>
      <c r="B12" s="12">
        <f>COUNTIF(tblContacts[ContactOutcome],"Successful")</f>
        <v>1443</v>
      </c>
      <c r="C12" s="12" t="s">
        <v>253</v>
      </c>
      <c r="D12" s="13" t="s">
        <v>256</v>
      </c>
      <c r="P12" s="83">
        <v>46174</v>
      </c>
      <c r="Q12">
        <v>300</v>
      </c>
      <c r="S12">
        <v>2014</v>
      </c>
      <c r="T12" t="str">
        <v>Priya Shah</v>
      </c>
      <c r="U12">
        <v>12</v>
      </c>
      <c r="V12">
        <v>26</v>
      </c>
      <c r="W12" s="85">
        <v>0.46153846153846156</v>
      </c>
    </row>
    <row r="13" spans="1:23" ht="45">
      <c r="A13" s="14" t="s">
        <v>257</v>
      </c>
      <c r="B13" s="15">
        <f>COUNTIF(tblStaff[Employment Status],"Active")</f>
        <v>18</v>
      </c>
      <c r="C13" s="15" t="s">
        <v>258</v>
      </c>
      <c r="D13" s="16" t="s">
        <v>259</v>
      </c>
      <c r="P13" s="83">
        <v>46204</v>
      </c>
      <c r="Q13">
        <v>127</v>
      </c>
      <c r="S13">
        <v>2015</v>
      </c>
      <c r="T13" t="str">
        <v>Caleb Foster</v>
      </c>
      <c r="U13">
        <v>14</v>
      </c>
      <c r="V13">
        <v>26</v>
      </c>
      <c r="W13" s="85">
        <v>0.53846153846153844</v>
      </c>
    </row>
    <row r="14" spans="1:23" ht="30">
      <c r="A14" s="17" t="s">
        <v>260</v>
      </c>
      <c r="B14" s="18">
        <f>COUNTIF(tblPrograms[Status],"Active")</f>
        <v>6</v>
      </c>
      <c r="C14" s="18" t="s">
        <v>260</v>
      </c>
      <c r="D14" s="19" t="s">
        <v>261</v>
      </c>
      <c r="S14">
        <v>2017</v>
      </c>
      <c r="T14" t="str">
        <v>Isaac Robinson</v>
      </c>
      <c r="U14">
        <v>9</v>
      </c>
      <c r="V14">
        <v>18</v>
      </c>
      <c r="W14" s="85">
        <v>0.5</v>
      </c>
    </row>
    <row r="15" spans="1:23" ht="75">
      <c r="A15" s="20" t="s">
        <v>262</v>
      </c>
      <c r="B15" s="23">
        <f>IFERROR(B12/B11,0)</f>
        <v>0.49367088607594939</v>
      </c>
      <c r="C15" s="21" t="s">
        <v>253</v>
      </c>
      <c r="D15" s="22" t="s">
        <v>263</v>
      </c>
      <c r="S15">
        <v>2018</v>
      </c>
      <c r="T15" t="str">
        <v>Elena Garcia</v>
      </c>
      <c r="U15">
        <v>22</v>
      </c>
      <c r="V15">
        <v>28</v>
      </c>
      <c r="W15" s="85">
        <v>0.7857142857142857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DC955-F9EA-486D-9C68-D2515F3AEE99}">
  <dimension ref="B2:O14"/>
  <sheetViews>
    <sheetView showGridLines="0" tabSelected="1" workbookViewId="0">
      <selection activeCell="Q52" sqref="Q52"/>
    </sheetView>
  </sheetViews>
  <sheetFormatPr defaultRowHeight="15"/>
  <cols>
    <col min="2" max="5" width="11.7109375" customWidth="1"/>
    <col min="6" max="6" width="3.7109375" customWidth="1"/>
    <col min="7" max="10" width="11.7109375" customWidth="1"/>
    <col min="11" max="11" width="3.7109375" customWidth="1"/>
    <col min="12" max="15" width="11.7109375" customWidth="1"/>
  </cols>
  <sheetData>
    <row r="2" spans="2:15">
      <c r="B2" s="76" t="s">
        <v>264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</row>
    <row r="3" spans="2:15">
      <c r="B3" s="76"/>
      <c r="C3" s="76"/>
      <c r="D3" s="76"/>
      <c r="E3" s="76"/>
      <c r="F3" s="76"/>
      <c r="G3" s="76"/>
      <c r="H3" s="76"/>
      <c r="I3" s="76"/>
      <c r="J3" s="76"/>
      <c r="K3" s="76"/>
      <c r="L3" s="76"/>
      <c r="M3" s="76"/>
      <c r="N3" s="76"/>
      <c r="O3" s="76"/>
    </row>
    <row r="4" spans="2:15" ht="15.75" customHeight="1">
      <c r="B4" s="77" t="s">
        <v>268</v>
      </c>
      <c r="C4" s="78"/>
      <c r="D4" s="78"/>
      <c r="E4" s="78"/>
      <c r="F4" s="78"/>
      <c r="G4" s="78"/>
      <c r="H4" s="78"/>
      <c r="I4" s="79"/>
      <c r="J4" s="79"/>
      <c r="K4" s="79"/>
      <c r="L4" s="80" t="s">
        <v>265</v>
      </c>
      <c r="M4" s="80"/>
      <c r="N4" s="82">
        <f ca="1">TODAY()</f>
        <v>46214</v>
      </c>
      <c r="O4" s="82"/>
    </row>
    <row r="6" spans="2:15" ht="24" customHeight="1">
      <c r="B6" s="25" t="s">
        <v>236</v>
      </c>
      <c r="C6" s="26"/>
      <c r="D6" s="26"/>
      <c r="E6" s="27"/>
      <c r="F6" s="24"/>
      <c r="G6" s="37" t="s">
        <v>266</v>
      </c>
      <c r="H6" s="38"/>
      <c r="I6" s="38"/>
      <c r="J6" s="39"/>
      <c r="K6" s="24"/>
      <c r="L6" s="46" t="s">
        <v>267</v>
      </c>
      <c r="M6" s="47"/>
      <c r="N6" s="47"/>
      <c r="O6" s="48"/>
    </row>
    <row r="7" spans="2:15" ht="21.95" customHeight="1">
      <c r="B7" s="31">
        <f>Metrics!B3</f>
        <v>179</v>
      </c>
      <c r="C7" s="32"/>
      <c r="D7" s="32"/>
      <c r="E7" s="33"/>
      <c r="F7" s="24"/>
      <c r="G7" s="40">
        <f>Metrics!B6</f>
        <v>79</v>
      </c>
      <c r="H7" s="41"/>
      <c r="I7" s="41"/>
      <c r="J7" s="42"/>
      <c r="K7" s="24"/>
      <c r="L7" s="49">
        <f>Metrics!B7</f>
        <v>24</v>
      </c>
      <c r="M7" s="50"/>
      <c r="N7" s="50"/>
      <c r="O7" s="51"/>
    </row>
    <row r="8" spans="2:15" ht="21.95" customHeight="1">
      <c r="B8" s="31"/>
      <c r="C8" s="32"/>
      <c r="D8" s="32"/>
      <c r="E8" s="33"/>
      <c r="F8" s="24"/>
      <c r="G8" s="40"/>
      <c r="H8" s="41"/>
      <c r="I8" s="41"/>
      <c r="J8" s="42"/>
      <c r="K8" s="24"/>
      <c r="L8" s="49"/>
      <c r="M8" s="50"/>
      <c r="N8" s="50"/>
      <c r="O8" s="51"/>
    </row>
    <row r="9" spans="2:15" ht="21.95" customHeight="1">
      <c r="B9" s="34"/>
      <c r="C9" s="35"/>
      <c r="D9" s="35"/>
      <c r="E9" s="36"/>
      <c r="F9" s="24"/>
      <c r="G9" s="43"/>
      <c r="H9" s="44"/>
      <c r="I9" s="44"/>
      <c r="J9" s="45"/>
      <c r="K9" s="24"/>
      <c r="L9" s="52"/>
      <c r="M9" s="53"/>
      <c r="N9" s="53"/>
      <c r="O9" s="54"/>
    </row>
    <row r="10" spans="2:15"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</row>
    <row r="11" spans="2:15" ht="24" customHeight="1">
      <c r="B11" s="28" t="s">
        <v>246</v>
      </c>
      <c r="C11" s="29"/>
      <c r="D11" s="29"/>
      <c r="E11" s="30"/>
      <c r="F11" s="24"/>
      <c r="G11" s="61" t="s">
        <v>248</v>
      </c>
      <c r="H11" s="62"/>
      <c r="I11" s="62"/>
      <c r="J11" s="63"/>
      <c r="K11" s="24"/>
      <c r="L11" s="28" t="s">
        <v>250</v>
      </c>
      <c r="M11" s="29"/>
      <c r="N11" s="29"/>
      <c r="O11" s="30"/>
    </row>
    <row r="12" spans="2:15" ht="21.95" customHeight="1">
      <c r="B12" s="55">
        <f>Metrics!B8</f>
        <v>136</v>
      </c>
      <c r="C12" s="56"/>
      <c r="D12" s="56"/>
      <c r="E12" s="57"/>
      <c r="F12" s="24"/>
      <c r="G12" s="64">
        <f>Metrics!B9</f>
        <v>79</v>
      </c>
      <c r="H12" s="65"/>
      <c r="I12" s="65"/>
      <c r="J12" s="66"/>
      <c r="K12" s="24"/>
      <c r="L12" s="70">
        <f>Metrics!B10</f>
        <v>96.49751243781094</v>
      </c>
      <c r="M12" s="71"/>
      <c r="N12" s="71"/>
      <c r="O12" s="72"/>
    </row>
    <row r="13" spans="2:15" ht="21.95" customHeight="1">
      <c r="B13" s="55"/>
      <c r="C13" s="56"/>
      <c r="D13" s="56"/>
      <c r="E13" s="57"/>
      <c r="F13" s="24"/>
      <c r="G13" s="64"/>
      <c r="H13" s="65"/>
      <c r="I13" s="65"/>
      <c r="J13" s="66"/>
      <c r="K13" s="24"/>
      <c r="L13" s="70"/>
      <c r="M13" s="71"/>
      <c r="N13" s="71"/>
      <c r="O13" s="72"/>
    </row>
    <row r="14" spans="2:15" ht="21.95" customHeight="1">
      <c r="B14" s="58"/>
      <c r="C14" s="59"/>
      <c r="D14" s="59"/>
      <c r="E14" s="60"/>
      <c r="F14" s="24"/>
      <c r="G14" s="67"/>
      <c r="H14" s="68"/>
      <c r="I14" s="68"/>
      <c r="J14" s="69"/>
      <c r="K14" s="24"/>
      <c r="L14" s="73"/>
      <c r="M14" s="74"/>
      <c r="N14" s="74"/>
      <c r="O14" s="75"/>
    </row>
  </sheetData>
  <mergeCells count="16">
    <mergeCell ref="B11:E11"/>
    <mergeCell ref="B12:E14"/>
    <mergeCell ref="G11:J11"/>
    <mergeCell ref="G12:J14"/>
    <mergeCell ref="L11:O11"/>
    <mergeCell ref="L12:O14"/>
    <mergeCell ref="B2:O3"/>
    <mergeCell ref="B6:E6"/>
    <mergeCell ref="B7:E9"/>
    <mergeCell ref="G6:J6"/>
    <mergeCell ref="G7:J9"/>
    <mergeCell ref="L6:O6"/>
    <mergeCell ref="L7:O9"/>
    <mergeCell ref="B4:H4"/>
    <mergeCell ref="L4:M4"/>
    <mergeCell ref="N4:O4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C85C7-2128-49E9-A013-08D7C5873739}">
  <dimension ref="A1:J104"/>
  <sheetViews>
    <sheetView workbookViewId="0">
      <selection activeCell="F12" sqref="F12"/>
    </sheetView>
  </sheetViews>
  <sheetFormatPr defaultRowHeight="15"/>
  <cols>
    <col min="1" max="1" width="10.42578125" bestFit="1" customWidth="1"/>
    <col min="2" max="2" width="12.42578125" bestFit="1" customWidth="1"/>
    <col min="3" max="3" width="12" bestFit="1" customWidth="1"/>
    <col min="4" max="4" width="17.42578125" bestFit="1" customWidth="1"/>
    <col min="5" max="5" width="12.5703125" bestFit="1" customWidth="1"/>
    <col min="6" max="6" width="19" bestFit="1" customWidth="1"/>
    <col min="7" max="7" width="20.7109375" bestFit="1" customWidth="1"/>
    <col min="8" max="8" width="15.85546875" bestFit="1" customWidth="1"/>
    <col min="9" max="9" width="20.28515625" bestFit="1" customWidth="1"/>
    <col min="10" max="10" width="24.140625" bestFit="1" customWidth="1"/>
  </cols>
  <sheetData>
    <row r="1" spans="1:10">
      <c r="A1" t="s">
        <v>55</v>
      </c>
      <c r="B1" t="s">
        <v>56</v>
      </c>
      <c r="C1" t="s">
        <v>57</v>
      </c>
      <c r="D1" t="s">
        <v>60</v>
      </c>
      <c r="E1" t="s">
        <v>15</v>
      </c>
      <c r="F1" t="s">
        <v>223</v>
      </c>
      <c r="G1" t="s">
        <v>224</v>
      </c>
      <c r="H1" t="s">
        <v>62</v>
      </c>
      <c r="I1" t="s">
        <v>225</v>
      </c>
      <c r="J1" t="s">
        <v>226</v>
      </c>
    </row>
    <row r="2" spans="1:10">
      <c r="A2">
        <v>3086</v>
      </c>
      <c r="B2" t="s">
        <v>155</v>
      </c>
      <c r="C2" t="s">
        <v>169</v>
      </c>
      <c r="D2">
        <v>2006</v>
      </c>
      <c r="E2">
        <v>1002</v>
      </c>
      <c r="F2">
        <v>635</v>
      </c>
      <c r="G2" t="s">
        <v>227</v>
      </c>
      <c r="H2" t="s">
        <v>72</v>
      </c>
      <c r="I2" t="s">
        <v>228</v>
      </c>
      <c r="J2" t="s">
        <v>228</v>
      </c>
    </row>
    <row r="3" spans="1:10">
      <c r="A3">
        <v>3149</v>
      </c>
      <c r="B3" t="s">
        <v>87</v>
      </c>
      <c r="C3" t="s">
        <v>111</v>
      </c>
      <c r="D3">
        <v>2007</v>
      </c>
      <c r="E3">
        <v>1003</v>
      </c>
      <c r="F3">
        <v>612</v>
      </c>
      <c r="G3" t="s">
        <v>227</v>
      </c>
      <c r="H3" t="s">
        <v>81</v>
      </c>
      <c r="I3" t="s">
        <v>228</v>
      </c>
      <c r="J3" t="s">
        <v>228</v>
      </c>
    </row>
    <row r="4" spans="1:10">
      <c r="A4">
        <v>3129</v>
      </c>
      <c r="B4" t="s">
        <v>163</v>
      </c>
      <c r="C4" t="s">
        <v>139</v>
      </c>
      <c r="D4">
        <v>2003</v>
      </c>
      <c r="E4">
        <v>1001</v>
      </c>
      <c r="F4">
        <v>599</v>
      </c>
      <c r="G4" t="s">
        <v>227</v>
      </c>
      <c r="H4" t="s">
        <v>67</v>
      </c>
      <c r="I4" t="s">
        <v>228</v>
      </c>
      <c r="J4" t="s">
        <v>228</v>
      </c>
    </row>
    <row r="5" spans="1:10">
      <c r="A5">
        <v>3223</v>
      </c>
      <c r="B5" t="s">
        <v>107</v>
      </c>
      <c r="C5" t="s">
        <v>122</v>
      </c>
      <c r="D5">
        <v>2018</v>
      </c>
      <c r="E5">
        <v>1006</v>
      </c>
      <c r="F5">
        <v>539</v>
      </c>
      <c r="G5" t="s">
        <v>227</v>
      </c>
      <c r="H5" t="s">
        <v>67</v>
      </c>
      <c r="I5" t="s">
        <v>228</v>
      </c>
      <c r="J5" t="s">
        <v>228</v>
      </c>
    </row>
    <row r="6" spans="1:10">
      <c r="A6">
        <v>3020</v>
      </c>
      <c r="B6" t="s">
        <v>107</v>
      </c>
      <c r="C6" t="s">
        <v>108</v>
      </c>
      <c r="D6">
        <v>2007</v>
      </c>
      <c r="E6">
        <v>1003</v>
      </c>
      <c r="F6">
        <v>512</v>
      </c>
      <c r="G6" t="s">
        <v>227</v>
      </c>
      <c r="H6" t="s">
        <v>81</v>
      </c>
      <c r="I6" t="s">
        <v>228</v>
      </c>
      <c r="J6" t="s">
        <v>228</v>
      </c>
    </row>
    <row r="7" spans="1:10">
      <c r="A7">
        <v>3183</v>
      </c>
      <c r="B7" t="s">
        <v>82</v>
      </c>
      <c r="C7" t="s">
        <v>138</v>
      </c>
      <c r="D7">
        <v>2006</v>
      </c>
      <c r="E7">
        <v>1002</v>
      </c>
      <c r="F7">
        <v>485</v>
      </c>
      <c r="G7" t="s">
        <v>227</v>
      </c>
      <c r="H7" t="s">
        <v>72</v>
      </c>
      <c r="I7" t="s">
        <v>228</v>
      </c>
      <c r="J7" t="s">
        <v>228</v>
      </c>
    </row>
    <row r="8" spans="1:10">
      <c r="A8">
        <v>3053</v>
      </c>
      <c r="B8" t="s">
        <v>147</v>
      </c>
      <c r="C8" t="s">
        <v>120</v>
      </c>
      <c r="D8">
        <v>2007</v>
      </c>
      <c r="E8">
        <v>1003</v>
      </c>
      <c r="F8">
        <v>451</v>
      </c>
      <c r="G8" t="s">
        <v>227</v>
      </c>
      <c r="H8" t="s">
        <v>81</v>
      </c>
      <c r="I8" t="s">
        <v>228</v>
      </c>
      <c r="J8" t="s">
        <v>228</v>
      </c>
    </row>
    <row r="9" spans="1:10">
      <c r="A9">
        <v>3160</v>
      </c>
      <c r="B9" t="s">
        <v>183</v>
      </c>
      <c r="C9" t="s">
        <v>100</v>
      </c>
      <c r="D9">
        <v>2014</v>
      </c>
      <c r="E9">
        <v>1005</v>
      </c>
      <c r="F9">
        <v>422</v>
      </c>
      <c r="G9" t="s">
        <v>227</v>
      </c>
      <c r="H9" t="s">
        <v>72</v>
      </c>
      <c r="I9" t="s">
        <v>228</v>
      </c>
      <c r="J9" t="s">
        <v>228</v>
      </c>
    </row>
    <row r="10" spans="1:10">
      <c r="A10">
        <v>3002</v>
      </c>
      <c r="B10" t="s">
        <v>69</v>
      </c>
      <c r="C10" t="s">
        <v>70</v>
      </c>
      <c r="D10">
        <v>2017</v>
      </c>
      <c r="E10">
        <v>1006</v>
      </c>
      <c r="F10">
        <v>422</v>
      </c>
      <c r="G10" t="s">
        <v>227</v>
      </c>
      <c r="H10" t="s">
        <v>67</v>
      </c>
      <c r="I10" t="s">
        <v>228</v>
      </c>
      <c r="J10" t="s">
        <v>228</v>
      </c>
    </row>
    <row r="11" spans="1:10">
      <c r="A11">
        <v>3193</v>
      </c>
      <c r="B11" t="s">
        <v>156</v>
      </c>
      <c r="C11" t="s">
        <v>190</v>
      </c>
      <c r="D11">
        <v>2008</v>
      </c>
      <c r="E11">
        <v>1003</v>
      </c>
      <c r="F11">
        <v>375</v>
      </c>
      <c r="G11" t="s">
        <v>227</v>
      </c>
      <c r="H11" t="s">
        <v>72</v>
      </c>
      <c r="I11" t="s">
        <v>228</v>
      </c>
      <c r="J11" t="s">
        <v>228</v>
      </c>
    </row>
    <row r="12" spans="1:10">
      <c r="A12">
        <v>3158</v>
      </c>
      <c r="B12" t="s">
        <v>185</v>
      </c>
      <c r="C12" t="s">
        <v>190</v>
      </c>
      <c r="D12">
        <v>2012</v>
      </c>
      <c r="E12">
        <v>1004</v>
      </c>
      <c r="F12">
        <v>362</v>
      </c>
      <c r="G12" t="s">
        <v>227</v>
      </c>
      <c r="H12" t="s">
        <v>67</v>
      </c>
      <c r="I12" t="s">
        <v>228</v>
      </c>
      <c r="J12" t="s">
        <v>228</v>
      </c>
    </row>
    <row r="13" spans="1:10">
      <c r="A13">
        <v>3244</v>
      </c>
      <c r="B13" t="s">
        <v>163</v>
      </c>
      <c r="C13" t="s">
        <v>122</v>
      </c>
      <c r="D13">
        <v>2012</v>
      </c>
      <c r="E13">
        <v>1004</v>
      </c>
      <c r="F13">
        <v>357</v>
      </c>
      <c r="G13" t="s">
        <v>227</v>
      </c>
      <c r="H13" t="s">
        <v>67</v>
      </c>
      <c r="I13" t="s">
        <v>228</v>
      </c>
      <c r="J13" t="s">
        <v>228</v>
      </c>
    </row>
    <row r="14" spans="1:10">
      <c r="A14">
        <v>3045</v>
      </c>
      <c r="B14" t="s">
        <v>84</v>
      </c>
      <c r="C14" t="s">
        <v>78</v>
      </c>
      <c r="D14">
        <v>2015</v>
      </c>
      <c r="E14">
        <v>1005</v>
      </c>
      <c r="F14">
        <v>348</v>
      </c>
      <c r="G14" t="s">
        <v>227</v>
      </c>
      <c r="H14" t="s">
        <v>67</v>
      </c>
      <c r="I14" t="s">
        <v>228</v>
      </c>
      <c r="J14" t="s">
        <v>228</v>
      </c>
    </row>
    <row r="15" spans="1:10">
      <c r="A15">
        <v>3199</v>
      </c>
      <c r="B15" t="s">
        <v>107</v>
      </c>
      <c r="C15" t="s">
        <v>71</v>
      </c>
      <c r="D15">
        <v>2013</v>
      </c>
      <c r="E15">
        <v>1005</v>
      </c>
      <c r="F15">
        <v>337</v>
      </c>
      <c r="G15" t="s">
        <v>227</v>
      </c>
      <c r="H15" t="s">
        <v>67</v>
      </c>
      <c r="I15" t="s">
        <v>228</v>
      </c>
      <c r="J15" t="s">
        <v>228</v>
      </c>
    </row>
    <row r="16" spans="1:10">
      <c r="A16">
        <v>3095</v>
      </c>
      <c r="B16" t="s">
        <v>117</v>
      </c>
      <c r="C16" t="s">
        <v>114</v>
      </c>
      <c r="D16">
        <v>2006</v>
      </c>
      <c r="E16">
        <v>1002</v>
      </c>
      <c r="F16">
        <v>315</v>
      </c>
      <c r="G16" t="s">
        <v>227</v>
      </c>
      <c r="H16" t="s">
        <v>72</v>
      </c>
      <c r="I16" t="s">
        <v>228</v>
      </c>
      <c r="J16" t="s">
        <v>228</v>
      </c>
    </row>
    <row r="17" spans="1:10">
      <c r="A17">
        <v>3037</v>
      </c>
      <c r="B17" t="s">
        <v>92</v>
      </c>
      <c r="C17" t="s">
        <v>118</v>
      </c>
      <c r="D17">
        <v>2015</v>
      </c>
      <c r="E17">
        <v>1005</v>
      </c>
      <c r="F17">
        <v>311</v>
      </c>
      <c r="G17" t="s">
        <v>227</v>
      </c>
      <c r="H17" t="s">
        <v>67</v>
      </c>
      <c r="I17" t="s">
        <v>228</v>
      </c>
      <c r="J17" t="s">
        <v>228</v>
      </c>
    </row>
    <row r="18" spans="1:10">
      <c r="A18">
        <v>3175</v>
      </c>
      <c r="B18" t="s">
        <v>155</v>
      </c>
      <c r="C18" t="s">
        <v>141</v>
      </c>
      <c r="D18">
        <v>2005</v>
      </c>
      <c r="E18">
        <v>1002</v>
      </c>
      <c r="F18">
        <v>307</v>
      </c>
      <c r="G18" t="s">
        <v>227</v>
      </c>
      <c r="H18" t="s">
        <v>67</v>
      </c>
      <c r="I18" t="s">
        <v>228</v>
      </c>
      <c r="J18" t="s">
        <v>228</v>
      </c>
    </row>
    <row r="19" spans="1:10">
      <c r="A19">
        <v>3132</v>
      </c>
      <c r="B19" t="s">
        <v>185</v>
      </c>
      <c r="C19" t="s">
        <v>136</v>
      </c>
      <c r="D19">
        <v>2005</v>
      </c>
      <c r="E19">
        <v>1002</v>
      </c>
      <c r="F19">
        <v>296</v>
      </c>
      <c r="G19" t="s">
        <v>227</v>
      </c>
      <c r="H19" t="s">
        <v>67</v>
      </c>
      <c r="I19" t="s">
        <v>228</v>
      </c>
      <c r="J19" t="s">
        <v>228</v>
      </c>
    </row>
    <row r="20" spans="1:10">
      <c r="A20">
        <v>3010</v>
      </c>
      <c r="B20" t="s">
        <v>87</v>
      </c>
      <c r="C20" t="s">
        <v>88</v>
      </c>
      <c r="D20">
        <v>2005</v>
      </c>
      <c r="E20">
        <v>1002</v>
      </c>
      <c r="F20">
        <v>292</v>
      </c>
      <c r="G20" t="s">
        <v>227</v>
      </c>
      <c r="H20" t="s">
        <v>67</v>
      </c>
      <c r="I20" t="s">
        <v>228</v>
      </c>
      <c r="J20" t="s">
        <v>228</v>
      </c>
    </row>
    <row r="21" spans="1:10">
      <c r="A21">
        <v>3169</v>
      </c>
      <c r="B21" t="s">
        <v>191</v>
      </c>
      <c r="C21" t="s">
        <v>141</v>
      </c>
      <c r="D21">
        <v>2005</v>
      </c>
      <c r="E21">
        <v>1002</v>
      </c>
      <c r="F21">
        <v>282</v>
      </c>
      <c r="G21" t="s">
        <v>227</v>
      </c>
      <c r="H21" t="s">
        <v>67</v>
      </c>
      <c r="I21" t="s">
        <v>228</v>
      </c>
      <c r="J21" t="s">
        <v>228</v>
      </c>
    </row>
    <row r="22" spans="1:10">
      <c r="A22">
        <v>3189</v>
      </c>
      <c r="B22" t="s">
        <v>77</v>
      </c>
      <c r="C22" t="s">
        <v>105</v>
      </c>
      <c r="D22">
        <v>2014</v>
      </c>
      <c r="E22">
        <v>1005</v>
      </c>
      <c r="F22">
        <v>278</v>
      </c>
      <c r="G22" t="s">
        <v>227</v>
      </c>
      <c r="H22" t="s">
        <v>81</v>
      </c>
      <c r="I22" t="s">
        <v>228</v>
      </c>
      <c r="J22" t="s">
        <v>228</v>
      </c>
    </row>
    <row r="23" spans="1:10">
      <c r="A23">
        <v>3174</v>
      </c>
      <c r="B23" t="s">
        <v>188</v>
      </c>
      <c r="C23" t="s">
        <v>150</v>
      </c>
      <c r="D23">
        <v>2007</v>
      </c>
      <c r="E23">
        <v>1003</v>
      </c>
      <c r="F23">
        <v>225</v>
      </c>
      <c r="G23" t="s">
        <v>227</v>
      </c>
      <c r="H23" t="s">
        <v>81</v>
      </c>
      <c r="I23" t="s">
        <v>228</v>
      </c>
      <c r="J23" t="s">
        <v>228</v>
      </c>
    </row>
    <row r="24" spans="1:10">
      <c r="A24">
        <v>3076</v>
      </c>
      <c r="B24" t="s">
        <v>159</v>
      </c>
      <c r="C24" t="s">
        <v>165</v>
      </c>
      <c r="D24">
        <v>2012</v>
      </c>
      <c r="E24">
        <v>1004</v>
      </c>
      <c r="F24">
        <v>223</v>
      </c>
      <c r="G24" t="s">
        <v>227</v>
      </c>
      <c r="H24" t="s">
        <v>81</v>
      </c>
      <c r="I24" t="s">
        <v>228</v>
      </c>
      <c r="J24" t="s">
        <v>228</v>
      </c>
    </row>
    <row r="25" spans="1:10">
      <c r="A25">
        <v>3171</v>
      </c>
      <c r="B25" t="s">
        <v>103</v>
      </c>
      <c r="C25" t="s">
        <v>133</v>
      </c>
      <c r="D25">
        <v>2009</v>
      </c>
      <c r="E25">
        <v>1003</v>
      </c>
      <c r="F25">
        <v>217</v>
      </c>
      <c r="G25" t="s">
        <v>227</v>
      </c>
      <c r="H25" t="s">
        <v>81</v>
      </c>
      <c r="I25" t="s">
        <v>228</v>
      </c>
      <c r="J25" t="s">
        <v>228</v>
      </c>
    </row>
    <row r="26" spans="1:10">
      <c r="A26">
        <v>3038</v>
      </c>
      <c r="B26" t="s">
        <v>132</v>
      </c>
      <c r="C26" t="s">
        <v>133</v>
      </c>
      <c r="D26">
        <v>2006</v>
      </c>
      <c r="E26">
        <v>1002</v>
      </c>
      <c r="F26">
        <v>215</v>
      </c>
      <c r="G26" t="s">
        <v>227</v>
      </c>
      <c r="H26" t="s">
        <v>81</v>
      </c>
      <c r="I26" t="s">
        <v>228</v>
      </c>
      <c r="J26" t="s">
        <v>228</v>
      </c>
    </row>
    <row r="27" spans="1:10">
      <c r="A27">
        <v>3197</v>
      </c>
      <c r="B27" t="s">
        <v>119</v>
      </c>
      <c r="C27" t="s">
        <v>181</v>
      </c>
      <c r="D27">
        <v>2005</v>
      </c>
      <c r="E27">
        <v>1002</v>
      </c>
      <c r="F27">
        <v>215</v>
      </c>
      <c r="G27" t="s">
        <v>227</v>
      </c>
      <c r="H27" t="s">
        <v>72</v>
      </c>
      <c r="I27" t="s">
        <v>228</v>
      </c>
      <c r="J27" t="s">
        <v>228</v>
      </c>
    </row>
    <row r="28" spans="1:10">
      <c r="A28">
        <v>3013</v>
      </c>
      <c r="B28" t="s">
        <v>94</v>
      </c>
      <c r="C28" t="s">
        <v>95</v>
      </c>
      <c r="D28">
        <v>2006</v>
      </c>
      <c r="E28">
        <v>1002</v>
      </c>
      <c r="F28">
        <v>203</v>
      </c>
      <c r="G28" t="s">
        <v>227</v>
      </c>
      <c r="H28" t="s">
        <v>67</v>
      </c>
      <c r="I28" t="s">
        <v>228</v>
      </c>
      <c r="J28" t="s">
        <v>228</v>
      </c>
    </row>
    <row r="29" spans="1:10">
      <c r="A29">
        <v>3012</v>
      </c>
      <c r="B29" t="s">
        <v>92</v>
      </c>
      <c r="C29" t="s">
        <v>93</v>
      </c>
      <c r="D29">
        <v>2018</v>
      </c>
      <c r="E29">
        <v>1006</v>
      </c>
      <c r="F29">
        <v>199</v>
      </c>
      <c r="G29" t="s">
        <v>227</v>
      </c>
      <c r="H29" t="s">
        <v>72</v>
      </c>
      <c r="I29" t="s">
        <v>228</v>
      </c>
      <c r="J29" t="s">
        <v>228</v>
      </c>
    </row>
    <row r="30" spans="1:10">
      <c r="A30">
        <v>3134</v>
      </c>
      <c r="B30" t="s">
        <v>157</v>
      </c>
      <c r="C30" t="s">
        <v>169</v>
      </c>
      <c r="D30">
        <v>2018</v>
      </c>
      <c r="E30">
        <v>1006</v>
      </c>
      <c r="F30">
        <v>195</v>
      </c>
      <c r="G30" t="s">
        <v>227</v>
      </c>
      <c r="H30" t="s">
        <v>72</v>
      </c>
      <c r="I30" t="s">
        <v>228</v>
      </c>
      <c r="J30" t="s">
        <v>228</v>
      </c>
    </row>
    <row r="31" spans="1:10">
      <c r="A31">
        <v>3051</v>
      </c>
      <c r="B31" t="s">
        <v>141</v>
      </c>
      <c r="C31" t="s">
        <v>145</v>
      </c>
      <c r="D31">
        <v>2005</v>
      </c>
      <c r="E31">
        <v>1002</v>
      </c>
      <c r="F31">
        <v>187</v>
      </c>
      <c r="G31" t="s">
        <v>227</v>
      </c>
      <c r="H31" t="s">
        <v>67</v>
      </c>
      <c r="I31" t="s">
        <v>228</v>
      </c>
      <c r="J31" t="s">
        <v>228</v>
      </c>
    </row>
    <row r="32" spans="1:10">
      <c r="A32">
        <v>3155</v>
      </c>
      <c r="B32" t="s">
        <v>119</v>
      </c>
      <c r="C32" t="s">
        <v>141</v>
      </c>
      <c r="D32">
        <v>2007</v>
      </c>
      <c r="E32">
        <v>1003</v>
      </c>
      <c r="F32">
        <v>185</v>
      </c>
      <c r="G32" t="s">
        <v>227</v>
      </c>
      <c r="H32" t="s">
        <v>67</v>
      </c>
      <c r="I32" t="s">
        <v>228</v>
      </c>
      <c r="J32" t="s">
        <v>228</v>
      </c>
    </row>
    <row r="33" spans="1:10">
      <c r="A33">
        <v>3006</v>
      </c>
      <c r="B33" t="s">
        <v>79</v>
      </c>
      <c r="C33" t="s">
        <v>80</v>
      </c>
      <c r="D33">
        <v>2018</v>
      </c>
      <c r="E33">
        <v>1006</v>
      </c>
      <c r="F33">
        <v>184</v>
      </c>
      <c r="G33" t="s">
        <v>227</v>
      </c>
      <c r="H33" t="s">
        <v>81</v>
      </c>
      <c r="I33" t="s">
        <v>228</v>
      </c>
      <c r="J33" t="s">
        <v>228</v>
      </c>
    </row>
    <row r="34" spans="1:10">
      <c r="A34">
        <v>3137</v>
      </c>
      <c r="B34" t="s">
        <v>96</v>
      </c>
      <c r="C34" t="s">
        <v>66</v>
      </c>
      <c r="D34">
        <v>2006</v>
      </c>
      <c r="E34">
        <v>1002</v>
      </c>
      <c r="F34">
        <v>181</v>
      </c>
      <c r="G34" t="s">
        <v>227</v>
      </c>
      <c r="H34" t="s">
        <v>67</v>
      </c>
      <c r="I34" t="s">
        <v>228</v>
      </c>
      <c r="J34" t="s">
        <v>228</v>
      </c>
    </row>
    <row r="35" spans="1:10">
      <c r="A35">
        <v>3034</v>
      </c>
      <c r="B35" t="s">
        <v>117</v>
      </c>
      <c r="C35" t="s">
        <v>70</v>
      </c>
      <c r="D35">
        <v>2002</v>
      </c>
      <c r="E35">
        <v>1001</v>
      </c>
      <c r="F35">
        <v>179</v>
      </c>
      <c r="G35" t="s">
        <v>227</v>
      </c>
      <c r="H35" t="s">
        <v>72</v>
      </c>
      <c r="I35" t="s">
        <v>228</v>
      </c>
      <c r="J35" t="s">
        <v>228</v>
      </c>
    </row>
    <row r="36" spans="1:10">
      <c r="A36">
        <v>3221</v>
      </c>
      <c r="B36" t="s">
        <v>126</v>
      </c>
      <c r="C36" t="s">
        <v>173</v>
      </c>
      <c r="D36">
        <v>2009</v>
      </c>
      <c r="E36">
        <v>1003</v>
      </c>
      <c r="F36">
        <v>176</v>
      </c>
      <c r="G36" t="s">
        <v>227</v>
      </c>
      <c r="H36" t="s">
        <v>67</v>
      </c>
      <c r="I36" t="s">
        <v>228</v>
      </c>
      <c r="J36" t="s">
        <v>228</v>
      </c>
    </row>
    <row r="37" spans="1:10">
      <c r="A37">
        <v>3093</v>
      </c>
      <c r="B37" t="s">
        <v>107</v>
      </c>
      <c r="C37" t="s">
        <v>131</v>
      </c>
      <c r="D37">
        <v>2015</v>
      </c>
      <c r="E37">
        <v>1005</v>
      </c>
      <c r="F37">
        <v>171</v>
      </c>
      <c r="G37" t="s">
        <v>227</v>
      </c>
      <c r="H37" t="s">
        <v>67</v>
      </c>
      <c r="I37" t="s">
        <v>228</v>
      </c>
      <c r="J37" t="s">
        <v>228</v>
      </c>
    </row>
    <row r="38" spans="1:10">
      <c r="A38">
        <v>3063</v>
      </c>
      <c r="B38" t="s">
        <v>73</v>
      </c>
      <c r="C38" t="s">
        <v>100</v>
      </c>
      <c r="D38">
        <v>2017</v>
      </c>
      <c r="E38">
        <v>1006</v>
      </c>
      <c r="F38">
        <v>165</v>
      </c>
      <c r="G38" t="s">
        <v>227</v>
      </c>
      <c r="H38" t="s">
        <v>67</v>
      </c>
      <c r="I38" t="s">
        <v>228</v>
      </c>
      <c r="J38" t="s">
        <v>228</v>
      </c>
    </row>
    <row r="39" spans="1:10">
      <c r="A39">
        <v>3122</v>
      </c>
      <c r="B39" t="s">
        <v>163</v>
      </c>
      <c r="C39" t="s">
        <v>141</v>
      </c>
      <c r="D39">
        <v>2005</v>
      </c>
      <c r="E39">
        <v>1002</v>
      </c>
      <c r="F39">
        <v>164</v>
      </c>
      <c r="G39" t="s">
        <v>227</v>
      </c>
      <c r="H39" t="s">
        <v>67</v>
      </c>
      <c r="I39" t="s">
        <v>228</v>
      </c>
      <c r="J39" t="s">
        <v>228</v>
      </c>
    </row>
    <row r="40" spans="1:10">
      <c r="A40">
        <v>3098</v>
      </c>
      <c r="B40" t="s">
        <v>73</v>
      </c>
      <c r="C40" t="s">
        <v>136</v>
      </c>
      <c r="D40">
        <v>2003</v>
      </c>
      <c r="E40">
        <v>1001</v>
      </c>
      <c r="F40">
        <v>157</v>
      </c>
      <c r="G40" t="s">
        <v>227</v>
      </c>
      <c r="H40" t="s">
        <v>72</v>
      </c>
      <c r="I40" t="s">
        <v>228</v>
      </c>
      <c r="J40" t="s">
        <v>228</v>
      </c>
    </row>
    <row r="41" spans="1:10">
      <c r="A41">
        <v>3021</v>
      </c>
      <c r="B41" t="s">
        <v>92</v>
      </c>
      <c r="C41" t="s">
        <v>109</v>
      </c>
      <c r="D41">
        <v>2002</v>
      </c>
      <c r="E41">
        <v>1001</v>
      </c>
      <c r="F41">
        <v>156</v>
      </c>
      <c r="G41" t="s">
        <v>227</v>
      </c>
      <c r="H41" t="s">
        <v>72</v>
      </c>
      <c r="I41" t="s">
        <v>228</v>
      </c>
      <c r="J41" t="s">
        <v>228</v>
      </c>
    </row>
    <row r="42" spans="1:10">
      <c r="A42">
        <v>3032</v>
      </c>
      <c r="B42" t="s">
        <v>126</v>
      </c>
      <c r="C42" t="s">
        <v>127</v>
      </c>
      <c r="D42">
        <v>2003</v>
      </c>
      <c r="E42">
        <v>1001</v>
      </c>
      <c r="F42">
        <v>153</v>
      </c>
      <c r="G42" t="s">
        <v>227</v>
      </c>
      <c r="H42" t="s">
        <v>72</v>
      </c>
      <c r="I42" t="s">
        <v>228</v>
      </c>
      <c r="J42" t="s">
        <v>228</v>
      </c>
    </row>
    <row r="43" spans="1:10">
      <c r="A43">
        <v>3043</v>
      </c>
      <c r="B43" t="s">
        <v>96</v>
      </c>
      <c r="C43" t="s">
        <v>120</v>
      </c>
      <c r="D43">
        <v>2009</v>
      </c>
      <c r="E43">
        <v>1003</v>
      </c>
      <c r="F43">
        <v>153</v>
      </c>
      <c r="G43" t="s">
        <v>227</v>
      </c>
      <c r="H43" t="s">
        <v>81</v>
      </c>
      <c r="I43" t="s">
        <v>228</v>
      </c>
      <c r="J43" t="s">
        <v>228</v>
      </c>
    </row>
    <row r="44" spans="1:10">
      <c r="A44">
        <v>3131</v>
      </c>
      <c r="B44" t="s">
        <v>155</v>
      </c>
      <c r="C44" t="s">
        <v>131</v>
      </c>
      <c r="D44">
        <v>2005</v>
      </c>
      <c r="E44">
        <v>1002</v>
      </c>
      <c r="F44">
        <v>149</v>
      </c>
      <c r="G44" t="s">
        <v>227</v>
      </c>
      <c r="H44" t="s">
        <v>72</v>
      </c>
      <c r="I44" t="s">
        <v>228</v>
      </c>
      <c r="J44" t="s">
        <v>228</v>
      </c>
    </row>
    <row r="45" spans="1:10">
      <c r="A45">
        <v>3130</v>
      </c>
      <c r="B45" t="s">
        <v>184</v>
      </c>
      <c r="C45" t="s">
        <v>176</v>
      </c>
      <c r="D45">
        <v>2003</v>
      </c>
      <c r="E45">
        <v>1001</v>
      </c>
      <c r="F45">
        <v>145</v>
      </c>
      <c r="G45" t="s">
        <v>227</v>
      </c>
      <c r="H45" t="s">
        <v>67</v>
      </c>
      <c r="I45" t="s">
        <v>228</v>
      </c>
      <c r="J45" t="s">
        <v>228</v>
      </c>
    </row>
    <row r="46" spans="1:10">
      <c r="A46">
        <v>3014</v>
      </c>
      <c r="B46" t="s">
        <v>96</v>
      </c>
      <c r="C46" t="s">
        <v>97</v>
      </c>
      <c r="D46">
        <v>2006</v>
      </c>
      <c r="E46">
        <v>1002</v>
      </c>
      <c r="F46">
        <v>143</v>
      </c>
      <c r="G46" t="s">
        <v>227</v>
      </c>
      <c r="H46" t="s">
        <v>67</v>
      </c>
      <c r="I46" t="s">
        <v>228</v>
      </c>
      <c r="J46" t="s">
        <v>228</v>
      </c>
    </row>
    <row r="47" spans="1:10">
      <c r="A47">
        <v>3007</v>
      </c>
      <c r="B47" t="s">
        <v>82</v>
      </c>
      <c r="C47" t="s">
        <v>80</v>
      </c>
      <c r="D47">
        <v>2018</v>
      </c>
      <c r="E47">
        <v>1006</v>
      </c>
      <c r="F47">
        <v>142</v>
      </c>
      <c r="G47" t="s">
        <v>227</v>
      </c>
      <c r="H47" t="s">
        <v>72</v>
      </c>
      <c r="I47" t="s">
        <v>228</v>
      </c>
      <c r="J47" t="s">
        <v>228</v>
      </c>
    </row>
    <row r="48" spans="1:10">
      <c r="A48">
        <v>3133</v>
      </c>
      <c r="B48" t="s">
        <v>113</v>
      </c>
      <c r="C48" t="s">
        <v>150</v>
      </c>
      <c r="D48">
        <v>2012</v>
      </c>
      <c r="E48">
        <v>1004</v>
      </c>
      <c r="F48">
        <v>138</v>
      </c>
      <c r="G48" t="s">
        <v>227</v>
      </c>
      <c r="H48" t="s">
        <v>67</v>
      </c>
      <c r="I48" t="s">
        <v>228</v>
      </c>
      <c r="J48" t="s">
        <v>228</v>
      </c>
    </row>
    <row r="49" spans="1:10">
      <c r="A49">
        <v>3151</v>
      </c>
      <c r="B49" t="s">
        <v>117</v>
      </c>
      <c r="C49" t="s">
        <v>139</v>
      </c>
      <c r="D49">
        <v>2011</v>
      </c>
      <c r="E49">
        <v>1004</v>
      </c>
      <c r="F49">
        <v>135</v>
      </c>
      <c r="G49" t="s">
        <v>227</v>
      </c>
      <c r="H49" t="s">
        <v>72</v>
      </c>
      <c r="I49" t="s">
        <v>228</v>
      </c>
      <c r="J49" t="s">
        <v>228</v>
      </c>
    </row>
    <row r="50" spans="1:10">
      <c r="A50">
        <v>3026</v>
      </c>
      <c r="B50" t="s">
        <v>116</v>
      </c>
      <c r="C50" t="s">
        <v>66</v>
      </c>
      <c r="D50">
        <v>2018</v>
      </c>
      <c r="E50">
        <v>1006</v>
      </c>
      <c r="F50">
        <v>129</v>
      </c>
      <c r="G50" t="s">
        <v>227</v>
      </c>
      <c r="H50" t="s">
        <v>72</v>
      </c>
      <c r="I50" t="s">
        <v>228</v>
      </c>
      <c r="J50" t="s">
        <v>228</v>
      </c>
    </row>
    <row r="51" spans="1:10">
      <c r="A51">
        <v>3170</v>
      </c>
      <c r="B51" t="s">
        <v>143</v>
      </c>
      <c r="C51" t="s">
        <v>85</v>
      </c>
      <c r="D51">
        <v>2013</v>
      </c>
      <c r="E51">
        <v>1005</v>
      </c>
      <c r="F51">
        <v>127</v>
      </c>
      <c r="G51" t="s">
        <v>227</v>
      </c>
      <c r="H51" t="s">
        <v>72</v>
      </c>
      <c r="I51" t="s">
        <v>228</v>
      </c>
      <c r="J51" t="s">
        <v>228</v>
      </c>
    </row>
    <row r="52" spans="1:10">
      <c r="A52">
        <v>3027</v>
      </c>
      <c r="B52" t="s">
        <v>117</v>
      </c>
      <c r="C52" t="s">
        <v>118</v>
      </c>
      <c r="D52">
        <v>2018</v>
      </c>
      <c r="E52">
        <v>1006</v>
      </c>
      <c r="F52">
        <v>124</v>
      </c>
      <c r="G52" t="s">
        <v>227</v>
      </c>
      <c r="H52" t="s">
        <v>67</v>
      </c>
      <c r="I52" t="s">
        <v>228</v>
      </c>
      <c r="J52" t="s">
        <v>228</v>
      </c>
    </row>
    <row r="53" spans="1:10">
      <c r="A53">
        <v>3061</v>
      </c>
      <c r="B53" t="s">
        <v>69</v>
      </c>
      <c r="C53" t="s">
        <v>136</v>
      </c>
      <c r="D53">
        <v>2018</v>
      </c>
      <c r="E53">
        <v>1006</v>
      </c>
      <c r="F53">
        <v>115</v>
      </c>
      <c r="G53" t="s">
        <v>227</v>
      </c>
      <c r="H53" t="s">
        <v>81</v>
      </c>
      <c r="I53" t="s">
        <v>228</v>
      </c>
      <c r="J53" t="s">
        <v>228</v>
      </c>
    </row>
    <row r="54" spans="1:10">
      <c r="A54">
        <v>3146</v>
      </c>
      <c r="B54" t="s">
        <v>104</v>
      </c>
      <c r="C54" t="s">
        <v>175</v>
      </c>
      <c r="D54">
        <v>2002</v>
      </c>
      <c r="E54">
        <v>1001</v>
      </c>
      <c r="F54">
        <v>112</v>
      </c>
      <c r="G54" t="s">
        <v>227</v>
      </c>
      <c r="H54" t="s">
        <v>72</v>
      </c>
      <c r="I54" t="s">
        <v>228</v>
      </c>
      <c r="J54" t="s">
        <v>228</v>
      </c>
    </row>
    <row r="55" spans="1:10">
      <c r="A55">
        <v>3092</v>
      </c>
      <c r="B55" t="s">
        <v>128</v>
      </c>
      <c r="C55" t="s">
        <v>141</v>
      </c>
      <c r="D55">
        <v>2008</v>
      </c>
      <c r="E55">
        <v>1003</v>
      </c>
      <c r="F55">
        <v>111</v>
      </c>
      <c r="G55" t="s">
        <v>227</v>
      </c>
      <c r="H55" t="s">
        <v>67</v>
      </c>
      <c r="I55" t="s">
        <v>228</v>
      </c>
      <c r="J55" t="s">
        <v>228</v>
      </c>
    </row>
    <row r="56" spans="1:10">
      <c r="A56">
        <v>3009</v>
      </c>
      <c r="B56" t="s">
        <v>84</v>
      </c>
      <c r="C56" t="s">
        <v>85</v>
      </c>
      <c r="D56">
        <v>2018</v>
      </c>
      <c r="E56">
        <v>1006</v>
      </c>
      <c r="F56">
        <v>110</v>
      </c>
      <c r="G56" t="s">
        <v>227</v>
      </c>
      <c r="H56" t="s">
        <v>72</v>
      </c>
      <c r="I56" t="s">
        <v>228</v>
      </c>
      <c r="J56" t="s">
        <v>228</v>
      </c>
    </row>
    <row r="57" spans="1:10">
      <c r="A57">
        <v>3153</v>
      </c>
      <c r="B57" t="s">
        <v>170</v>
      </c>
      <c r="C57" t="s">
        <v>169</v>
      </c>
      <c r="D57">
        <v>2005</v>
      </c>
      <c r="E57">
        <v>1002</v>
      </c>
      <c r="F57">
        <v>109</v>
      </c>
      <c r="G57" t="s">
        <v>227</v>
      </c>
      <c r="H57" t="s">
        <v>67</v>
      </c>
      <c r="I57" t="s">
        <v>228</v>
      </c>
      <c r="J57" t="s">
        <v>228</v>
      </c>
    </row>
    <row r="58" spans="1:10">
      <c r="A58">
        <v>3229</v>
      </c>
      <c r="B58" t="s">
        <v>135</v>
      </c>
      <c r="C58" t="s">
        <v>80</v>
      </c>
      <c r="D58">
        <v>2013</v>
      </c>
      <c r="E58">
        <v>1005</v>
      </c>
      <c r="F58">
        <v>105</v>
      </c>
      <c r="G58" t="s">
        <v>227</v>
      </c>
      <c r="H58" t="s">
        <v>67</v>
      </c>
      <c r="I58" t="s">
        <v>228</v>
      </c>
      <c r="J58" t="s">
        <v>228</v>
      </c>
    </row>
    <row r="59" spans="1:10">
      <c r="A59">
        <v>3245</v>
      </c>
      <c r="B59" t="s">
        <v>103</v>
      </c>
      <c r="C59" t="s">
        <v>111</v>
      </c>
      <c r="D59">
        <v>2018</v>
      </c>
      <c r="E59">
        <v>1006</v>
      </c>
      <c r="F59">
        <v>104</v>
      </c>
      <c r="G59" t="s">
        <v>227</v>
      </c>
      <c r="H59" t="s">
        <v>81</v>
      </c>
      <c r="I59" t="s">
        <v>228</v>
      </c>
      <c r="J59" t="s">
        <v>228</v>
      </c>
    </row>
    <row r="60" spans="1:10">
      <c r="A60">
        <v>3196</v>
      </c>
      <c r="B60" t="s">
        <v>94</v>
      </c>
      <c r="C60" t="s">
        <v>150</v>
      </c>
      <c r="D60">
        <v>2017</v>
      </c>
      <c r="E60">
        <v>1006</v>
      </c>
      <c r="F60">
        <v>103</v>
      </c>
      <c r="G60" t="s">
        <v>227</v>
      </c>
      <c r="H60" t="s">
        <v>67</v>
      </c>
      <c r="I60" t="s">
        <v>228</v>
      </c>
      <c r="J60" t="s">
        <v>228</v>
      </c>
    </row>
    <row r="61" spans="1:10">
      <c r="A61">
        <v>3108</v>
      </c>
      <c r="B61" t="s">
        <v>103</v>
      </c>
      <c r="C61" t="s">
        <v>176</v>
      </c>
      <c r="D61">
        <v>2002</v>
      </c>
      <c r="E61">
        <v>1001</v>
      </c>
      <c r="F61">
        <v>101</v>
      </c>
      <c r="G61" t="s">
        <v>227</v>
      </c>
      <c r="H61" t="s">
        <v>72</v>
      </c>
      <c r="I61" t="s">
        <v>228</v>
      </c>
      <c r="J61" t="s">
        <v>228</v>
      </c>
    </row>
    <row r="62" spans="1:10">
      <c r="A62">
        <v>3055</v>
      </c>
      <c r="B62" t="s">
        <v>94</v>
      </c>
      <c r="C62" t="s">
        <v>120</v>
      </c>
      <c r="D62">
        <v>2003</v>
      </c>
      <c r="E62">
        <v>1001</v>
      </c>
      <c r="F62">
        <v>100</v>
      </c>
      <c r="G62" t="s">
        <v>227</v>
      </c>
      <c r="H62" t="s">
        <v>81</v>
      </c>
      <c r="I62" t="s">
        <v>228</v>
      </c>
      <c r="J62" t="s">
        <v>228</v>
      </c>
    </row>
    <row r="63" spans="1:10">
      <c r="A63">
        <v>3140</v>
      </c>
      <c r="B63" t="s">
        <v>89</v>
      </c>
      <c r="C63" t="s">
        <v>144</v>
      </c>
      <c r="D63">
        <v>2009</v>
      </c>
      <c r="E63">
        <v>1003</v>
      </c>
      <c r="F63">
        <v>99</v>
      </c>
      <c r="G63" t="s">
        <v>227</v>
      </c>
      <c r="H63" t="s">
        <v>67</v>
      </c>
      <c r="I63" t="s">
        <v>228</v>
      </c>
      <c r="J63" t="s">
        <v>228</v>
      </c>
    </row>
    <row r="64" spans="1:10">
      <c r="A64">
        <v>3201</v>
      </c>
      <c r="B64" t="s">
        <v>94</v>
      </c>
      <c r="C64" t="s">
        <v>176</v>
      </c>
      <c r="D64">
        <v>2011</v>
      </c>
      <c r="E64">
        <v>1004</v>
      </c>
      <c r="F64">
        <v>99</v>
      </c>
      <c r="G64" t="s">
        <v>227</v>
      </c>
      <c r="H64" t="s">
        <v>67</v>
      </c>
      <c r="I64" t="s">
        <v>228</v>
      </c>
      <c r="J64" t="s">
        <v>228</v>
      </c>
    </row>
    <row r="65" spans="1:10">
      <c r="A65">
        <v>3222</v>
      </c>
      <c r="B65" t="s">
        <v>154</v>
      </c>
      <c r="C65" t="s">
        <v>173</v>
      </c>
      <c r="D65">
        <v>2006</v>
      </c>
      <c r="E65">
        <v>1002</v>
      </c>
      <c r="F65">
        <v>98</v>
      </c>
      <c r="G65" t="s">
        <v>227</v>
      </c>
      <c r="H65" t="s">
        <v>67</v>
      </c>
      <c r="I65" t="s">
        <v>228</v>
      </c>
      <c r="J65" t="s">
        <v>228</v>
      </c>
    </row>
    <row r="66" spans="1:10">
      <c r="A66">
        <v>3217</v>
      </c>
      <c r="B66" t="s">
        <v>148</v>
      </c>
      <c r="C66" t="s">
        <v>78</v>
      </c>
      <c r="D66">
        <v>2005</v>
      </c>
      <c r="E66">
        <v>1002</v>
      </c>
      <c r="F66">
        <v>98</v>
      </c>
      <c r="G66" t="s">
        <v>227</v>
      </c>
      <c r="H66" t="s">
        <v>81</v>
      </c>
      <c r="I66" t="s">
        <v>228</v>
      </c>
      <c r="J66" t="s">
        <v>228</v>
      </c>
    </row>
    <row r="67" spans="1:10">
      <c r="A67">
        <v>3023</v>
      </c>
      <c r="B67" t="s">
        <v>113</v>
      </c>
      <c r="C67" t="s">
        <v>114</v>
      </c>
      <c r="D67">
        <v>2012</v>
      </c>
      <c r="E67">
        <v>1004</v>
      </c>
      <c r="F67">
        <v>97</v>
      </c>
      <c r="G67" t="s">
        <v>227</v>
      </c>
      <c r="H67" t="s">
        <v>67</v>
      </c>
      <c r="I67" t="s">
        <v>228</v>
      </c>
      <c r="J67" t="s">
        <v>228</v>
      </c>
    </row>
    <row r="68" spans="1:10">
      <c r="A68">
        <v>3154</v>
      </c>
      <c r="B68" t="s">
        <v>119</v>
      </c>
      <c r="C68" t="s">
        <v>160</v>
      </c>
      <c r="D68">
        <v>2005</v>
      </c>
      <c r="E68">
        <v>1002</v>
      </c>
      <c r="F68">
        <v>94</v>
      </c>
      <c r="G68" t="s">
        <v>227</v>
      </c>
      <c r="H68" t="s">
        <v>72</v>
      </c>
      <c r="I68" t="s">
        <v>228</v>
      </c>
      <c r="J68" t="s">
        <v>228</v>
      </c>
    </row>
    <row r="69" spans="1:10">
      <c r="A69">
        <v>3180</v>
      </c>
      <c r="B69" t="s">
        <v>141</v>
      </c>
      <c r="C69" t="s">
        <v>150</v>
      </c>
      <c r="D69">
        <v>2002</v>
      </c>
      <c r="E69">
        <v>1001</v>
      </c>
      <c r="F69">
        <v>93</v>
      </c>
      <c r="G69" t="s">
        <v>227</v>
      </c>
      <c r="H69" t="s">
        <v>67</v>
      </c>
      <c r="I69" t="s">
        <v>228</v>
      </c>
      <c r="J69" t="s">
        <v>228</v>
      </c>
    </row>
    <row r="70" spans="1:10">
      <c r="A70">
        <v>3072</v>
      </c>
      <c r="B70" t="s">
        <v>155</v>
      </c>
      <c r="C70" t="s">
        <v>95</v>
      </c>
      <c r="D70">
        <v>2008</v>
      </c>
      <c r="E70">
        <v>1003</v>
      </c>
      <c r="F70">
        <v>93</v>
      </c>
      <c r="G70" t="s">
        <v>227</v>
      </c>
      <c r="H70" t="s">
        <v>81</v>
      </c>
      <c r="I70" t="s">
        <v>228</v>
      </c>
      <c r="J70" t="s">
        <v>228</v>
      </c>
    </row>
    <row r="71" spans="1:10">
      <c r="A71">
        <v>3052</v>
      </c>
      <c r="B71" t="s">
        <v>146</v>
      </c>
      <c r="C71" t="s">
        <v>137</v>
      </c>
      <c r="D71">
        <v>2008</v>
      </c>
      <c r="E71">
        <v>1003</v>
      </c>
      <c r="F71">
        <v>93</v>
      </c>
      <c r="G71" t="s">
        <v>227</v>
      </c>
      <c r="H71" t="s">
        <v>67</v>
      </c>
      <c r="I71" t="s">
        <v>228</v>
      </c>
      <c r="J71" t="s">
        <v>228</v>
      </c>
    </row>
    <row r="72" spans="1:10">
      <c r="A72">
        <v>3177</v>
      </c>
      <c r="B72" t="s">
        <v>146</v>
      </c>
      <c r="C72" t="s">
        <v>162</v>
      </c>
      <c r="D72">
        <v>2018</v>
      </c>
      <c r="E72">
        <v>1006</v>
      </c>
      <c r="F72">
        <v>91</v>
      </c>
      <c r="G72" t="s">
        <v>227</v>
      </c>
      <c r="H72" t="s">
        <v>81</v>
      </c>
      <c r="I72" t="s">
        <v>228</v>
      </c>
      <c r="J72" t="s">
        <v>228</v>
      </c>
    </row>
    <row r="73" spans="1:10">
      <c r="A73">
        <v>3115</v>
      </c>
      <c r="B73" t="s">
        <v>96</v>
      </c>
      <c r="C73" t="s">
        <v>173</v>
      </c>
      <c r="D73">
        <v>2006</v>
      </c>
      <c r="E73">
        <v>1002</v>
      </c>
      <c r="F73">
        <v>85</v>
      </c>
      <c r="G73" t="s">
        <v>227</v>
      </c>
      <c r="H73" t="s">
        <v>72</v>
      </c>
      <c r="I73" t="s">
        <v>228</v>
      </c>
      <c r="J73" t="s">
        <v>228</v>
      </c>
    </row>
    <row r="74" spans="1:10">
      <c r="A74">
        <v>3016</v>
      </c>
      <c r="B74" t="s">
        <v>82</v>
      </c>
      <c r="C74" t="s">
        <v>100</v>
      </c>
      <c r="D74">
        <v>2013</v>
      </c>
      <c r="E74">
        <v>1005</v>
      </c>
      <c r="F74">
        <v>80</v>
      </c>
      <c r="G74" t="s">
        <v>227</v>
      </c>
      <c r="H74" t="s">
        <v>67</v>
      </c>
      <c r="I74" t="s">
        <v>228</v>
      </c>
      <c r="J74" t="s">
        <v>228</v>
      </c>
    </row>
    <row r="75" spans="1:10">
      <c r="A75">
        <v>3235</v>
      </c>
      <c r="B75" t="s">
        <v>132</v>
      </c>
      <c r="C75" t="s">
        <v>176</v>
      </c>
      <c r="D75">
        <v>2011</v>
      </c>
      <c r="E75">
        <v>1004</v>
      </c>
      <c r="F75">
        <v>77</v>
      </c>
      <c r="G75" t="s">
        <v>227</v>
      </c>
      <c r="H75" t="s">
        <v>67</v>
      </c>
      <c r="I75" t="s">
        <v>228</v>
      </c>
      <c r="J75" t="s">
        <v>228</v>
      </c>
    </row>
    <row r="76" spans="1:10">
      <c r="A76">
        <v>3214</v>
      </c>
      <c r="B76" t="s">
        <v>83</v>
      </c>
      <c r="C76" t="s">
        <v>139</v>
      </c>
      <c r="D76">
        <v>2011</v>
      </c>
      <c r="E76">
        <v>1004</v>
      </c>
      <c r="F76">
        <v>75</v>
      </c>
      <c r="G76" t="s">
        <v>227</v>
      </c>
      <c r="H76" t="s">
        <v>81</v>
      </c>
      <c r="I76" t="s">
        <v>228</v>
      </c>
      <c r="J76" t="s">
        <v>228</v>
      </c>
    </row>
    <row r="77" spans="1:10">
      <c r="A77">
        <v>3068</v>
      </c>
      <c r="B77" t="s">
        <v>156</v>
      </c>
      <c r="C77" t="s">
        <v>88</v>
      </c>
      <c r="D77">
        <v>2006</v>
      </c>
      <c r="E77">
        <v>1002</v>
      </c>
      <c r="F77">
        <v>65</v>
      </c>
      <c r="G77" t="s">
        <v>227</v>
      </c>
      <c r="H77" t="s">
        <v>72</v>
      </c>
      <c r="I77" t="s">
        <v>228</v>
      </c>
      <c r="J77" t="s">
        <v>228</v>
      </c>
    </row>
    <row r="78" spans="1:10">
      <c r="A78">
        <v>3031</v>
      </c>
      <c r="B78" t="s">
        <v>124</v>
      </c>
      <c r="C78" t="s">
        <v>125</v>
      </c>
      <c r="D78">
        <v>2005</v>
      </c>
      <c r="E78">
        <v>1002</v>
      </c>
      <c r="F78">
        <v>61</v>
      </c>
      <c r="G78" t="s">
        <v>227</v>
      </c>
      <c r="H78" t="s">
        <v>72</v>
      </c>
      <c r="I78" t="s">
        <v>228</v>
      </c>
      <c r="J78" t="s">
        <v>228</v>
      </c>
    </row>
    <row r="79" spans="1:10">
      <c r="A79">
        <v>3162</v>
      </c>
      <c r="B79" t="s">
        <v>94</v>
      </c>
      <c r="C79" t="s">
        <v>181</v>
      </c>
      <c r="D79">
        <v>2012</v>
      </c>
      <c r="E79">
        <v>1004</v>
      </c>
      <c r="F79">
        <v>59</v>
      </c>
      <c r="G79" t="s">
        <v>227</v>
      </c>
      <c r="H79" t="s">
        <v>67</v>
      </c>
      <c r="I79" t="s">
        <v>228</v>
      </c>
      <c r="J79" t="s">
        <v>228</v>
      </c>
    </row>
    <row r="80" spans="1:10">
      <c r="A80">
        <v>3101</v>
      </c>
      <c r="B80" t="s">
        <v>96</v>
      </c>
      <c r="C80" t="s">
        <v>74</v>
      </c>
      <c r="D80">
        <v>2012</v>
      </c>
      <c r="E80">
        <v>1004</v>
      </c>
      <c r="F80">
        <v>47</v>
      </c>
      <c r="G80" t="s">
        <v>227</v>
      </c>
      <c r="H80" t="s">
        <v>67</v>
      </c>
      <c r="I80" t="s">
        <v>228</v>
      </c>
      <c r="J80" t="s">
        <v>228</v>
      </c>
    </row>
    <row r="81" spans="1:10">
      <c r="A81">
        <v>3230</v>
      </c>
      <c r="B81" t="s">
        <v>140</v>
      </c>
      <c r="C81" t="s">
        <v>174</v>
      </c>
      <c r="D81">
        <v>2018</v>
      </c>
      <c r="E81">
        <v>1006</v>
      </c>
      <c r="F81">
        <v>87</v>
      </c>
      <c r="G81" t="s">
        <v>81</v>
      </c>
      <c r="H81" t="s">
        <v>67</v>
      </c>
      <c r="I81" t="s">
        <v>228</v>
      </c>
      <c r="J81" t="s">
        <v>229</v>
      </c>
    </row>
    <row r="82" spans="1:10">
      <c r="A82">
        <v>3159</v>
      </c>
      <c r="B82" t="s">
        <v>157</v>
      </c>
      <c r="C82" t="s">
        <v>173</v>
      </c>
      <c r="D82">
        <v>2009</v>
      </c>
      <c r="E82">
        <v>1003</v>
      </c>
      <c r="F82">
        <v>83</v>
      </c>
      <c r="G82" t="s">
        <v>81</v>
      </c>
      <c r="H82" t="s">
        <v>67</v>
      </c>
      <c r="I82" t="s">
        <v>228</v>
      </c>
      <c r="J82" t="s">
        <v>229</v>
      </c>
    </row>
    <row r="83" spans="1:10">
      <c r="A83">
        <v>3190</v>
      </c>
      <c r="B83" t="s">
        <v>179</v>
      </c>
      <c r="C83" t="s">
        <v>71</v>
      </c>
      <c r="D83">
        <v>2009</v>
      </c>
      <c r="E83">
        <v>1003</v>
      </c>
      <c r="F83">
        <v>80</v>
      </c>
      <c r="G83" t="s">
        <v>81</v>
      </c>
      <c r="H83" t="s">
        <v>72</v>
      </c>
      <c r="I83" t="s">
        <v>228</v>
      </c>
      <c r="J83" t="s">
        <v>229</v>
      </c>
    </row>
    <row r="84" spans="1:10">
      <c r="A84">
        <v>3073</v>
      </c>
      <c r="B84" t="s">
        <v>161</v>
      </c>
      <c r="C84" t="s">
        <v>162</v>
      </c>
      <c r="D84">
        <v>2008</v>
      </c>
      <c r="E84">
        <v>1003</v>
      </c>
      <c r="F84">
        <v>79</v>
      </c>
      <c r="G84" t="s">
        <v>81</v>
      </c>
      <c r="H84" t="s">
        <v>67</v>
      </c>
      <c r="I84" t="s">
        <v>228</v>
      </c>
      <c r="J84" t="s">
        <v>229</v>
      </c>
    </row>
    <row r="85" spans="1:10">
      <c r="A85">
        <v>3215</v>
      </c>
      <c r="B85" t="s">
        <v>119</v>
      </c>
      <c r="C85" t="s">
        <v>78</v>
      </c>
      <c r="D85">
        <v>2003</v>
      </c>
      <c r="E85">
        <v>1001</v>
      </c>
      <c r="F85">
        <v>79</v>
      </c>
      <c r="G85" t="s">
        <v>81</v>
      </c>
      <c r="H85" t="s">
        <v>72</v>
      </c>
      <c r="I85" t="s">
        <v>228</v>
      </c>
      <c r="J85" t="s">
        <v>229</v>
      </c>
    </row>
    <row r="86" spans="1:10">
      <c r="A86">
        <v>3102</v>
      </c>
      <c r="B86" t="s">
        <v>124</v>
      </c>
      <c r="C86" t="s">
        <v>160</v>
      </c>
      <c r="D86">
        <v>2009</v>
      </c>
      <c r="E86">
        <v>1003</v>
      </c>
      <c r="F86">
        <v>78</v>
      </c>
      <c r="G86" t="s">
        <v>81</v>
      </c>
      <c r="H86" t="s">
        <v>67</v>
      </c>
      <c r="I86" t="s">
        <v>228</v>
      </c>
      <c r="J86" t="s">
        <v>229</v>
      </c>
    </row>
    <row r="87" spans="1:10">
      <c r="A87">
        <v>3208</v>
      </c>
      <c r="B87" t="s">
        <v>135</v>
      </c>
      <c r="C87" t="s">
        <v>160</v>
      </c>
      <c r="D87">
        <v>2008</v>
      </c>
      <c r="E87">
        <v>1003</v>
      </c>
      <c r="F87">
        <v>74</v>
      </c>
      <c r="G87" t="s">
        <v>81</v>
      </c>
      <c r="H87" t="s">
        <v>67</v>
      </c>
      <c r="I87" t="s">
        <v>228</v>
      </c>
      <c r="J87" t="s">
        <v>229</v>
      </c>
    </row>
    <row r="88" spans="1:10">
      <c r="A88">
        <v>3114</v>
      </c>
      <c r="B88" t="s">
        <v>170</v>
      </c>
      <c r="C88" t="s">
        <v>114</v>
      </c>
      <c r="D88">
        <v>2009</v>
      </c>
      <c r="E88">
        <v>1003</v>
      </c>
      <c r="F88">
        <v>68</v>
      </c>
      <c r="G88" t="s">
        <v>81</v>
      </c>
      <c r="H88" t="s">
        <v>72</v>
      </c>
      <c r="I88" t="s">
        <v>228</v>
      </c>
      <c r="J88" t="s">
        <v>229</v>
      </c>
    </row>
    <row r="89" spans="1:10">
      <c r="A89">
        <v>3040</v>
      </c>
      <c r="B89" t="s">
        <v>135</v>
      </c>
      <c r="C89" t="s">
        <v>136</v>
      </c>
      <c r="D89">
        <v>2002</v>
      </c>
      <c r="E89">
        <v>1001</v>
      </c>
      <c r="F89">
        <v>68</v>
      </c>
      <c r="G89" t="s">
        <v>81</v>
      </c>
      <c r="H89" t="s">
        <v>67</v>
      </c>
      <c r="I89" t="s">
        <v>228</v>
      </c>
      <c r="J89" t="s">
        <v>229</v>
      </c>
    </row>
    <row r="90" spans="1:10">
      <c r="A90">
        <v>3213</v>
      </c>
      <c r="B90" t="s">
        <v>157</v>
      </c>
      <c r="C90" t="s">
        <v>122</v>
      </c>
      <c r="D90">
        <v>2015</v>
      </c>
      <c r="E90">
        <v>1005</v>
      </c>
      <c r="F90">
        <v>67</v>
      </c>
      <c r="G90" t="s">
        <v>81</v>
      </c>
      <c r="H90" t="s">
        <v>81</v>
      </c>
      <c r="I90" t="s">
        <v>228</v>
      </c>
      <c r="J90" t="s">
        <v>229</v>
      </c>
    </row>
    <row r="91" spans="1:10">
      <c r="A91">
        <v>3124</v>
      </c>
      <c r="B91" t="s">
        <v>98</v>
      </c>
      <c r="C91" t="s">
        <v>162</v>
      </c>
      <c r="D91">
        <v>2015</v>
      </c>
      <c r="E91">
        <v>1005</v>
      </c>
      <c r="F91">
        <v>67</v>
      </c>
      <c r="G91" t="s">
        <v>81</v>
      </c>
      <c r="H91" t="s">
        <v>67</v>
      </c>
      <c r="I91" t="s">
        <v>228</v>
      </c>
      <c r="J91" t="s">
        <v>229</v>
      </c>
    </row>
    <row r="92" spans="1:10">
      <c r="A92">
        <v>3194</v>
      </c>
      <c r="B92" t="s">
        <v>147</v>
      </c>
      <c r="C92" t="s">
        <v>174</v>
      </c>
      <c r="D92">
        <v>2015</v>
      </c>
      <c r="E92">
        <v>1005</v>
      </c>
      <c r="F92">
        <v>66</v>
      </c>
      <c r="G92" t="s">
        <v>81</v>
      </c>
      <c r="H92" t="s">
        <v>67</v>
      </c>
      <c r="I92" t="s">
        <v>228</v>
      </c>
      <c r="J92" t="s">
        <v>229</v>
      </c>
    </row>
    <row r="93" spans="1:10">
      <c r="A93">
        <v>3236</v>
      </c>
      <c r="B93" t="s">
        <v>82</v>
      </c>
      <c r="C93" t="s">
        <v>93</v>
      </c>
      <c r="D93">
        <v>2014</v>
      </c>
      <c r="E93">
        <v>1005</v>
      </c>
      <c r="F93">
        <v>64</v>
      </c>
      <c r="G93" t="s">
        <v>81</v>
      </c>
      <c r="H93" t="s">
        <v>81</v>
      </c>
      <c r="I93" t="s">
        <v>228</v>
      </c>
      <c r="J93" t="s">
        <v>229</v>
      </c>
    </row>
    <row r="94" spans="1:10">
      <c r="A94">
        <v>3205</v>
      </c>
      <c r="B94" t="s">
        <v>89</v>
      </c>
      <c r="C94" t="s">
        <v>95</v>
      </c>
      <c r="D94">
        <v>2006</v>
      </c>
      <c r="E94">
        <v>1002</v>
      </c>
      <c r="F94">
        <v>56</v>
      </c>
      <c r="G94" t="s">
        <v>81</v>
      </c>
      <c r="H94" t="s">
        <v>72</v>
      </c>
      <c r="I94" t="s">
        <v>228</v>
      </c>
      <c r="J94" t="s">
        <v>229</v>
      </c>
    </row>
    <row r="95" spans="1:10">
      <c r="A95">
        <v>3241</v>
      </c>
      <c r="B95" t="s">
        <v>110</v>
      </c>
      <c r="C95" t="s">
        <v>74</v>
      </c>
      <c r="D95">
        <v>2002</v>
      </c>
      <c r="E95">
        <v>1001</v>
      </c>
      <c r="F95">
        <v>55</v>
      </c>
      <c r="G95" t="s">
        <v>81</v>
      </c>
      <c r="H95" t="s">
        <v>81</v>
      </c>
      <c r="I95" t="s">
        <v>228</v>
      </c>
      <c r="J95" t="s">
        <v>229</v>
      </c>
    </row>
    <row r="96" spans="1:10">
      <c r="A96">
        <v>3121</v>
      </c>
      <c r="B96" t="s">
        <v>132</v>
      </c>
      <c r="C96" t="s">
        <v>88</v>
      </c>
      <c r="D96">
        <v>2012</v>
      </c>
      <c r="E96">
        <v>1004</v>
      </c>
      <c r="F96">
        <v>41</v>
      </c>
      <c r="G96" t="s">
        <v>81</v>
      </c>
      <c r="H96" t="s">
        <v>72</v>
      </c>
      <c r="I96" t="s">
        <v>228</v>
      </c>
      <c r="J96" t="s">
        <v>229</v>
      </c>
    </row>
    <row r="97" spans="1:10">
      <c r="A97">
        <v>3112</v>
      </c>
      <c r="B97" t="s">
        <v>82</v>
      </c>
      <c r="C97" t="s">
        <v>118</v>
      </c>
      <c r="D97">
        <v>2011</v>
      </c>
      <c r="E97">
        <v>1004</v>
      </c>
      <c r="F97">
        <v>40</v>
      </c>
      <c r="G97" t="s">
        <v>81</v>
      </c>
      <c r="H97" t="s">
        <v>67</v>
      </c>
      <c r="I97" t="s">
        <v>228</v>
      </c>
      <c r="J97" t="s">
        <v>229</v>
      </c>
    </row>
    <row r="98" spans="1:10">
      <c r="A98">
        <v>3191</v>
      </c>
      <c r="B98" t="s">
        <v>82</v>
      </c>
      <c r="C98" t="s">
        <v>164</v>
      </c>
      <c r="D98">
        <v>2011</v>
      </c>
      <c r="E98">
        <v>1004</v>
      </c>
      <c r="F98">
        <v>38</v>
      </c>
      <c r="G98" t="s">
        <v>81</v>
      </c>
      <c r="H98" t="s">
        <v>81</v>
      </c>
      <c r="I98" t="s">
        <v>228</v>
      </c>
      <c r="J98" t="s">
        <v>229</v>
      </c>
    </row>
    <row r="99" spans="1:10">
      <c r="A99">
        <v>3060</v>
      </c>
      <c r="B99" t="s">
        <v>153</v>
      </c>
      <c r="C99" t="s">
        <v>70</v>
      </c>
      <c r="D99">
        <v>2011</v>
      </c>
      <c r="E99">
        <v>1004</v>
      </c>
      <c r="F99">
        <v>35</v>
      </c>
      <c r="G99" t="s">
        <v>81</v>
      </c>
      <c r="H99" t="s">
        <v>72</v>
      </c>
      <c r="I99" t="s">
        <v>228</v>
      </c>
      <c r="J99" t="s">
        <v>229</v>
      </c>
    </row>
    <row r="100" spans="1:10">
      <c r="A100">
        <v>3179</v>
      </c>
      <c r="B100" t="s">
        <v>191</v>
      </c>
      <c r="C100" t="s">
        <v>120</v>
      </c>
      <c r="D100">
        <v>2003</v>
      </c>
      <c r="E100">
        <v>1001</v>
      </c>
      <c r="F100">
        <v>32</v>
      </c>
      <c r="G100" t="s">
        <v>81</v>
      </c>
      <c r="H100" t="s">
        <v>81</v>
      </c>
      <c r="I100" t="s">
        <v>228</v>
      </c>
      <c r="J100" t="s">
        <v>229</v>
      </c>
    </row>
    <row r="101" spans="1:10">
      <c r="A101">
        <v>3071</v>
      </c>
      <c r="B101" t="s">
        <v>159</v>
      </c>
      <c r="C101" t="s">
        <v>160</v>
      </c>
      <c r="D101">
        <v>2015</v>
      </c>
      <c r="E101">
        <v>1005</v>
      </c>
      <c r="F101">
        <v>26</v>
      </c>
      <c r="G101" t="s">
        <v>81</v>
      </c>
      <c r="H101" t="s">
        <v>81</v>
      </c>
      <c r="I101" t="s">
        <v>228</v>
      </c>
      <c r="J101" t="s">
        <v>229</v>
      </c>
    </row>
    <row r="102" spans="1:10">
      <c r="A102">
        <v>3084</v>
      </c>
      <c r="B102" t="s">
        <v>132</v>
      </c>
      <c r="C102" t="s">
        <v>120</v>
      </c>
      <c r="D102">
        <v>2015</v>
      </c>
      <c r="E102">
        <v>1005</v>
      </c>
      <c r="F102">
        <v>26</v>
      </c>
      <c r="G102" t="s">
        <v>81</v>
      </c>
      <c r="H102" t="s">
        <v>81</v>
      </c>
      <c r="I102" t="s">
        <v>228</v>
      </c>
      <c r="J102" t="s">
        <v>229</v>
      </c>
    </row>
    <row r="103" spans="1:10">
      <c r="A103">
        <v>3029</v>
      </c>
      <c r="B103" t="s">
        <v>77</v>
      </c>
      <c r="C103" t="s">
        <v>122</v>
      </c>
      <c r="D103">
        <v>2006</v>
      </c>
      <c r="E103">
        <v>1002</v>
      </c>
      <c r="F103">
        <v>20</v>
      </c>
      <c r="G103" t="s">
        <v>81</v>
      </c>
      <c r="H103" t="s">
        <v>81</v>
      </c>
      <c r="I103" t="s">
        <v>228</v>
      </c>
      <c r="J103" t="s">
        <v>229</v>
      </c>
    </row>
    <row r="104" spans="1:10">
      <c r="A104">
        <v>3247</v>
      </c>
      <c r="B104" t="s">
        <v>166</v>
      </c>
      <c r="C104" t="s">
        <v>122</v>
      </c>
      <c r="D104">
        <v>2005</v>
      </c>
      <c r="E104">
        <v>1002</v>
      </c>
      <c r="F104">
        <v>18</v>
      </c>
      <c r="G104" t="s">
        <v>81</v>
      </c>
      <c r="H104" t="s">
        <v>81</v>
      </c>
      <c r="I104" t="s">
        <v>228</v>
      </c>
      <c r="J104" t="s">
        <v>229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15BA7-81A1-4CC4-BFAC-1188AF6F40E2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E8999-84E4-41EA-B19B-CC7B77DCCC7E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7DCEF2D-4EE0-4F52-A850-CA6CC3B166A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Instructions</vt:lpstr>
      <vt:lpstr>Settings</vt:lpstr>
      <vt:lpstr>Programs</vt:lpstr>
      <vt:lpstr>Staff</vt:lpstr>
      <vt:lpstr>Clients</vt:lpstr>
      <vt:lpstr>Contacts</vt:lpstr>
      <vt:lpstr>Client Summary</vt:lpstr>
      <vt:lpstr>Metrics</vt:lpstr>
      <vt:lpstr>Dashboard</vt:lpstr>
      <vt:lpstr>Priority Queue</vt:lpstr>
      <vt:lpstr>Inactive Queue</vt:lpstr>
      <vt:lpstr>Data Quality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Coulter</dc:creator>
  <cp:lastModifiedBy>Brett Coulter</cp:lastModifiedBy>
  <dcterms:created xsi:type="dcterms:W3CDTF">2026-07-11T05:34:48Z</dcterms:created>
  <dcterms:modified xsi:type="dcterms:W3CDTF">2026-07-11T18:15:06Z</dcterms:modified>
</cp:coreProperties>
</file>