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0110414E-54CF-4B39-9FC9-CFD76B99EA21}" xr6:coauthVersionLast="47" xr6:coauthVersionMax="47" xr10:uidLastSave="{00000000-0000-0000-0000-000000000000}"/>
  <bookViews>
    <workbookView xWindow="-120" yWindow="-120" windowWidth="29040" windowHeight="15720" firstSheet="2" activeTab="8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9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2" localSheetId="11" hidden="1">'Data Quality'!$M$1:$O$5</definedName>
    <definedName name="ExternalData_4" localSheetId="6" hidden="1">'Client Summary'!$A$1:$U$251</definedName>
    <definedName name="ExternalData_5" localSheetId="11" hidden="1">'Data Quality'!$A$1:$K$3</definedName>
    <definedName name="ExternalData_5" localSheetId="10" hidden="1">'Inactive Queue'!$A$1:$L$80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8" l="1" a="1"/>
  <c r="U2" i="18" a="1"/>
  <c r="W2" i="18" s="1" a="1"/>
  <c r="T2" i="18" a="1"/>
  <c r="S2" i="18" a="1"/>
  <c r="P2" i="18" a="1"/>
  <c r="Q2" i="18" s="1" a="1"/>
  <c r="M5" i="18"/>
  <c r="M4" i="18"/>
  <c r="M3" i="18"/>
  <c r="M2" i="18"/>
  <c r="F2" i="18" a="1"/>
  <c r="N4" i="7"/>
  <c r="B14" i="18"/>
  <c r="B13" i="18"/>
  <c r="B12" i="18"/>
  <c r="B15" i="18" s="1"/>
  <c r="B11" i="18"/>
  <c r="B10" i="18" a="1"/>
  <c r="L12" i="7" s="1"/>
  <c r="B9" i="18"/>
  <c r="G12" i="7" s="1"/>
  <c r="B8" i="18"/>
  <c r="B12" i="7" s="1"/>
  <c r="B7" i="18"/>
  <c r="L7" i="7" s="1"/>
  <c r="B6" i="18"/>
  <c r="G7" i="7" s="1"/>
  <c r="B5" i="18"/>
  <c r="B4" i="18"/>
  <c r="B3" i="18"/>
  <c r="B7" i="7" s="1"/>
  <c r="B2" i="18"/>
  <c r="B2" i="2"/>
  <c r="I2" i="18" l="1" a="1"/>
  <c r="H2" i="18" a="1"/>
  <c r="G2" i="18" a="1"/>
  <c r="J2" i="18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9F87C980-A1CE-490D-BE08-1EB2DC314A33}" keepAlive="1" name="Query - qryClientDataQuality" description="Connection to the 'qryClientDataQuality' query in the workbook." type="5" refreshedVersion="8" background="1" saveData="1">
    <dbPr connection="Provider=Microsoft.Mashup.OleDb.1;Data Source=$Workbook$;Location=qryClientDataQuality;Extended Properties=&quot;&quot;" command="SELECT * FROM [qryClientDataQuality]"/>
  </connection>
  <connection id="5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6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7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8" xr16:uid="{085BA84A-C569-48DC-949F-BEBF2C4F33E4}" keepAlive="1" name="Query - qryDataQualitySummary" description="Connection to the 'qryDataQualitySummary' query in the workbook." type="5" refreshedVersion="8" background="1" saveData="1">
    <dbPr connection="Provider=Microsoft.Mashup.OleDb.1;Data Source=$Workbook$;Location=qryDataQualitySummary;Extended Properties=&quot;&quot;" command="SELECT * FROM [qryDataQualitySummary]"/>
  </connection>
  <connection id="9" xr16:uid="{C4943750-499C-41CD-9C7D-742FF8C33F72}" keepAlive="1" name="Query - qryDuplicateClientIDs" description="Connection to the 'qryDuplicateClientIDs' query in the workbook." type="5" refreshedVersion="0" background="1">
    <dbPr connection="Provider=Microsoft.Mashup.OleDb.1;Data Source=$Workbook$;Location=qryDuplicateClientIDs;Extended Properties=&quot;&quot;" command="SELECT * FROM [qryDuplicateClientIDs]"/>
  </connection>
  <connection id="10" xr16:uid="{36810343-DBD8-48AF-BDEC-E18C046E7F14}" keepAlive="1" name="Query - qryInactiveQueue" description="Connection to the 'qryInactiveQueue' query in the workbook." type="5" refreshedVersion="8" background="1" saveData="1">
    <dbPr connection="Provider=Microsoft.Mashup.OleDb.1;Data Source=$Workbook$;Location=qryInactiveQueue;Extended Properties=&quot;&quot;" command="SELECT * FROM [qryInactiveQueue]"/>
  </connection>
  <connection id="11" xr16:uid="{73E39167-708D-4127-8C0B-1BA662601614}" keepAlive="1" name="Query - qryInvalidProgramAssignments" description="Connection to the 'qryInvalidProgramAssignments' query in the workbook." type="5" refreshedVersion="0" background="1">
    <dbPr connection="Provider=Microsoft.Mashup.OleDb.1;Data Source=$Workbook$;Location=qryInvalidProgramAssignments;Extended Properties=&quot;&quot;" command="SELECT * FROM [qryInvalidProgramAssignments]"/>
  </connection>
  <connection id="12" xr16:uid="{BE738FA1-9E1E-40D1-A7A4-C6339AECAB69}" keepAlive="1" name="Query - qryInvalidStaffAssignments" description="Connection to the 'qryInvalidStaffAssignments' query in the workbook." type="5" refreshedVersion="0" background="1">
    <dbPr connection="Provider=Microsoft.Mashup.OleDb.1;Data Source=$Workbook$;Location=qryInvalidStaffAssignments;Extended Properties=&quot;&quot;" command="SELECT * FROM [qryInvalidStaffAssignments]"/>
  </connection>
  <connection id="13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14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  <connection id="15" xr16:uid="{B3A71D69-DED1-47A6-9B88-D486C2E65476}" keepAlive="1" name="Query - Staff" description="Connection to the 'Staff' query in the workbook." type="5" refreshedVersion="0" background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<sst xmlns="http://schemas.openxmlformats.org/spreadsheetml/2006/main" count="13723" uniqueCount="315">
  <si>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</si>
  <si>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</si>
  <si>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</si>
  <si>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</si>
  <si>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</si>
  <si>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</si>
  <si>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</si>
  <si>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</si>
  <si>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</si>
  <si>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</si>
  <si>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</si>
  <si>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</si>
  <si>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</si>
  <si>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</si>
  <si>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</si>
  <si>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</si>
  <si>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</si>
  <si>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</si>
  <si>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</si>
  <si>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</si>
  <si>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</si>
  <si>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</si>
  <si>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</si>
  <si>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</si>
  <si>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</si>
  <si>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</si>
  <si>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</si>
  <si>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</si>
  <si>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</si>
  <si>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</si>
  <si>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</si>
  <si>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</si>
  <si>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</si>
  <si>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</si>
  <si>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</si>
  <si>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</si>
  <si>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</si>
  <si>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</si>
  <si>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</si>
  <si>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</si>
  <si>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</si>
  <si>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</si>
  <si>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</si>
  <si>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</si>
  <si>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</si>
  <si>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</si>
  <si>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</si>
  <si>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</si>
  <si>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</si>
  <si>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</si>
  <si>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</si>
  <si>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</si>
  <si>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</si>
  <si>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</si>
  <si>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</si>
  <si>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</si>
  <si>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</si>
  <si>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</si>
  <si>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</si>
  <si>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</si>
  <si>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</si>
  <si>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</si>
  <si>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</si>
  <si>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</si>
  <si>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</si>
  <si>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</si>
  <si>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</si>
  <si>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</si>
  <si>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</si>
  <si>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</si>
  <si>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</si>
  <si>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</si>
  <si>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</si>
  <si>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</si>
  <si>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</si>
  <si>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</si>
  <si>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</si>
  <si>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</si>
  <si>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</si>
  <si>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</si>
  <si>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</si>
  <si>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</si>
  <si>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</si>
  <si>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</si>
  <si>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</si>
  <si>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</si>
  <si>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</si>
  <si>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</si>
  <si>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</si>
  <si>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</si>
  <si>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</si>
  <si>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</si>
  <si>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</si>
  <si>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</si>
  <si>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</si>
  <si>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</si>
  <si>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</si>
  <si>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</si>
  <si>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</si>
  <si>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</si>
  <si>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</si>
  <si>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</si>
  <si>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</si>
  <si>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</si>
  <si>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</si>
  <si>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</si>
  <si>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</si>
  <si>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</si>
  <si>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</si>
  <si>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</si>
  <si>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</si>
  <si>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</si>
  <si>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</si>
  <si>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</si>
  <si>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</si>
  <si>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</si>
  <si>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</si>
  <si>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</si>
  <si>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</si>
  <si>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</si>
  <si>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</si>
  <si>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</si>
  <si>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</si>
  <si>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</si>
  <si>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</si>
  <si>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</si>
  <si>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</si>
  <si>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</si>
  <si>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</si>
  <si>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</si>
  <si>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</si>
  <si>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</si>
  <si>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</si>
  <si>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</si>
  <si>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</si>
  <si>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</si>
  <si>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</si>
  <si>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</si>
  <si>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</si>
  <si>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</si>
  <si>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</si>
  <si>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</si>
  <si>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</si>
  <si>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</si>
  <si>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</si>
  <si>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</si>
  <si>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</si>
  <si>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</si>
  <si>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</si>
  <si>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</si>
  <si>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</si>
  <si>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</si>
  <si>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</si>
  <si>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</si>
  <si>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</si>
  <si>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</si>
  <si>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</si>
  <si>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</si>
  <si>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</si>
  <si>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</si>
  <si>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</si>
  <si>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</si>
  <si>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</si>
  <si>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</si>
  <si>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</si>
  <si>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</si>
  <si>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</si>
  <si>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</si>
  <si>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</si>
  <si>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</si>
  <si>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</si>
  <si>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</si>
  <si>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</si>
  <si>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</si>
  <si>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</si>
  <si>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</si>
  <si>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</si>
  <si>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</si>
  <si>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</si>
  <si>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</si>
  <si>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</si>
  <si>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</si>
  <si>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</si>
  <si>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</si>
  <si>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</si>
  <si>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</si>
  <si>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</si>
  <si>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</si>
  <si>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</si>
  <si>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</si>
  <si>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</si>
  <si>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</si>
  <si>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</si>
  <si>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</si>
  <si>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</si>
  <si>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</si>
  <si>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</si>
  <si>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</si>
  <si>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</si>
  <si>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</si>
  <si>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</si>
  <si>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</si>
  <si>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</si>
  <si>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</si>
  <si>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</si>
  <si>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</si>
  <si>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</si>
  <si>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</si>
  <si>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</si>
  <si>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</si>
  <si>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</si>
  <si>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</si>
  <si>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</si>
  <si>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</si>
  <si>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</si>
  <si>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</si>
  <si>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</si>
  <si>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</si>
  <si>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</si>
  <si>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</si>
  <si>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</si>
  <si>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</si>
  <si>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</si>
  <si>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</si>
  <si>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</si>
  <si>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</si>
  <si>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</si>
  <si>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</si>
  <si>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</si>
  <si>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</si>
  <si>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</si>
  <si>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</si>
  <si>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</si>
  <si>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</si>
  <si>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</si>
  <si>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</si>
  <si>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</si>
  <si>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</si>
  <si>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</si>
  <si>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</si>
  <si>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</si>
  <si>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</si>
  <si>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</si>
  <si>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</si>
  <si>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</si>
  <si>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</si>
  <si>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</si>
  <si>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</si>
  <si>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</si>
  <si>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</si>
  <si>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</si>
  <si>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</si>
  <si>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</si>
  <si>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</si>
  <si>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</si>
  <si>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</si>
  <si>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</si>
  <si>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</si>
  <si>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</si>
  <si>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</si>
  <si>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</si>
  <si>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</si>
  <si>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</si>
  <si>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</si>
  <si>
    <t>Client Prioritization &amp; Operations Dashboard</t>
  </si>
  <si>
    <t>Reporting Date:</t>
  </si>
  <si>
    <t>Critical Priority</t>
  </si>
  <si>
    <t>High Priority</t>
  </si>
  <si>
    <t>Operational workload, follow-up, and inactivity monitoring</t>
  </si>
  <si>
    <t>Program ID</t>
  </si>
  <si>
    <t>Open Clients</t>
  </si>
  <si>
    <t>Dashboard chart support data</t>
  </si>
  <si>
    <t>Priority</t>
  </si>
  <si>
    <t>Clients</t>
  </si>
  <si>
    <t>Month</t>
  </si>
  <si>
    <t>Contact Records</t>
  </si>
  <si>
    <t>Staff ID</t>
  </si>
  <si>
    <t>Capacity</t>
  </si>
  <si>
    <t>Utilization</t>
  </si>
  <si>
    <t>DataQualityIssue</t>
  </si>
  <si>
    <t>No Contact History</t>
  </si>
  <si>
    <t>DataQualityCheck</t>
  </si>
  <si>
    <t>IssueCount</t>
  </si>
  <si>
    <t>Client Record Exceptions</t>
  </si>
  <si>
    <t>Review</t>
  </si>
  <si>
    <t>Duplicate Client IDs</t>
  </si>
  <si>
    <t>Pass</t>
  </si>
  <si>
    <t>Invalid Staff Assignments</t>
  </si>
  <si>
    <t>Invalid Program Assignments</t>
  </si>
  <si>
    <t xml:space="preserve">    Client Prioritization &amp; Operations Dashboard</t>
  </si>
  <si>
    <t>This workbook centralizes fictional client and contact data to support workload monitoring, follow-up prioritization, inactivity review, staff capacity analysis, and data-quality controls.</t>
  </si>
  <si>
    <t>Purpose</t>
  </si>
  <si>
    <t>How to Refresh</t>
  </si>
  <si>
    <t>1. Open the Data tab.
2. Select Refresh All.
3. Wait for all Power Query connections to finish.
4. Review the Dashboard and exception queues.</t>
  </si>
  <si>
    <t>Workbook Sections</t>
  </si>
  <si>
    <t>Sheet</t>
  </si>
  <si>
    <t>Dashboard</t>
  </si>
  <si>
    <t>Executive overview of workload and operational performance</t>
  </si>
  <si>
    <t>Priority Queue</t>
  </si>
  <si>
    <t>Critical and high-priority clients requiring action</t>
  </si>
  <si>
    <t>Inactive Queue</t>
  </si>
  <si>
    <t>Clients exceeding their program inactivity threshold</t>
  </si>
  <si>
    <t>Data Quality</t>
  </si>
  <si>
    <t>Client-level exceptions and control results</t>
  </si>
  <si>
    <t>Settings</t>
  </si>
  <si>
    <t>Thresholds and reporting parameters</t>
  </si>
  <si>
    <t>Program reference information</t>
  </si>
  <si>
    <t>Staff assignments and capacity targets</t>
  </si>
  <si>
    <t>Fictional client-level source data</t>
  </si>
  <si>
    <t>Fictional contact-history source data</t>
  </si>
  <si>
    <t>Power Query reporting layer</t>
  </si>
  <si>
    <t>Metrics</t>
  </si>
  <si>
    <t>Supporting dashboard calculations</t>
  </si>
  <si>
    <t>Portfolio Demonstration</t>
  </si>
  <si>
    <t>All names, records, organizations, and operational scenarios in this workbook are fictional. No employer, client, or protected information is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</si>
</sst>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mmm\ d\,\ yyyy"/>
    <numFmt numFmtId="166" formatCode="mmm\ yyyy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1F374E"/>
      <name val="Aptos"/>
      <family val="2"/>
    </font>
    <font>
      <b/>
      <sz val="26"/>
      <color rgb="FF146E69"/>
      <name val="Aptos Display"/>
      <family val="2"/>
    </font>
    <font>
      <b/>
      <sz val="11"/>
      <color theme="0"/>
      <name val="Aptos"/>
      <family val="2"/>
    </font>
    <font>
      <b/>
      <sz val="26"/>
      <color rgb="FF912323"/>
      <name val="Aptos Display"/>
      <family val="2"/>
    </font>
    <font>
      <b/>
      <sz val="11"/>
      <color rgb="FF50370A"/>
      <name val="Aptos"/>
      <family val="2"/>
    </font>
    <font>
      <b/>
      <sz val="26"/>
      <color rgb="FF915A00"/>
      <name val="Aptos Display"/>
      <family val="2"/>
    </font>
    <font>
      <b/>
      <sz val="26"/>
      <color rgb="FF2E5F8A"/>
      <name val="Aptos Display"/>
      <family val="2"/>
    </font>
    <font>
      <b/>
      <sz val="26"/>
      <color rgb="FF964614"/>
      <name val="Aptos Display"/>
      <family val="2"/>
    </font>
    <font>
      <b/>
      <sz val="26"/>
      <color rgb="FF374151"/>
      <name val="Aptos Display"/>
      <family val="2"/>
    </font>
    <font>
      <b/>
      <sz val="24"/>
      <color theme="0"/>
      <name val="Aptos Display"/>
      <family val="2"/>
    </font>
    <font>
      <i/>
      <sz val="11"/>
      <color rgb="FF5A6470"/>
      <name val="Aptos"/>
      <family val="2"/>
    </font>
    <font>
      <b/>
      <sz val="10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0"/>
      <name val="Aptos Display"/>
      <family val="2"/>
    </font>
    <font>
      <sz val="11"/>
      <color rgb="FF1F374E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7EEF5"/>
        <bgColor indexed="64"/>
      </patternFill>
    </fill>
    <fill>
      <patternFill patternType="solid">
        <fgColor rgb="FF993333"/>
        <bgColor indexed="64"/>
      </patternFill>
    </fill>
    <fill>
      <patternFill patternType="solid">
        <fgColor rgb="FFFAEBEB"/>
        <bgColor indexed="64"/>
      </patternFill>
    </fill>
    <fill>
      <patternFill patternType="solid">
        <fgColor rgb="FFE6B143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BF652B"/>
        <bgColor indexed="64"/>
      </patternFill>
    </fill>
    <fill>
      <patternFill patternType="solid">
        <fgColor rgb="FFFCEFE2"/>
        <bgColor indexed="64"/>
      </patternFill>
    </fill>
    <fill>
      <patternFill patternType="solid">
        <fgColor rgb="FF1F374E"/>
        <bgColor indexed="64"/>
      </patternFill>
    </fill>
    <fill>
      <patternFill patternType="solid">
        <fgColor rgb="FF1F374E"/>
        <bgColor theme="4"/>
      </patternFill>
    </fill>
  </fills>
  <borders count="2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374E"/>
      </left>
      <right/>
      <top/>
      <bottom style="thin">
        <color rgb="FF1F374E"/>
      </bottom>
      <diagonal/>
    </border>
    <border>
      <left/>
      <right/>
      <top/>
      <bottom style="thin">
        <color rgb="FF1F374E"/>
      </bottom>
      <diagonal/>
    </border>
    <border>
      <left/>
      <right style="thin">
        <color rgb="FF1F374E"/>
      </right>
      <top/>
      <bottom style="thin">
        <color rgb="FF1F374E"/>
      </bottom>
      <diagonal/>
    </border>
    <border>
      <left style="thin">
        <color rgb="FF1F374E"/>
      </left>
      <right/>
      <top style="thin">
        <color rgb="FF1F374E"/>
      </top>
      <bottom/>
      <diagonal/>
    </border>
    <border>
      <left/>
      <right/>
      <top style="thin">
        <color rgb="FF1F374E"/>
      </top>
      <bottom/>
      <diagonal/>
    </border>
    <border>
      <left/>
      <right style="thin">
        <color rgb="FF1F374E"/>
      </right>
      <top style="thin">
        <color rgb="FF1F374E"/>
      </top>
      <bottom/>
      <diagonal/>
    </border>
    <border>
      <left style="thin">
        <color rgb="FF1F374E"/>
      </left>
      <right/>
      <top/>
      <bottom/>
      <diagonal/>
    </border>
    <border>
      <left/>
      <right style="thin">
        <color rgb="FF1F374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0" borderId="15" xfId="0" applyBorder="1"/>
    <xf numFmtId="0" fontId="4" fillId="12" borderId="0" xfId="0" applyFont="1" applyFill="1" applyAlignment="1">
      <alignment horizontal="center" vertical="center" wrapText="1"/>
    </xf>
    <xf numFmtId="166" fontId="0" fillId="0" borderId="0" xfId="0" applyNumberFormat="1"/>
    <xf numFmtId="0" fontId="4" fillId="11" borderId="0" xfId="0" applyFont="1" applyFill="1" applyAlignment="1">
      <alignment horizontal="center" vertical="center"/>
    </xf>
    <xf numFmtId="9" fontId="0" fillId="0" borderId="0" xfId="0" applyNumberFormat="1"/>
    <xf numFmtId="9" fontId="4" fillId="11" borderId="0" xfId="0" applyNumberFormat="1" applyFont="1" applyFill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" fontId="12" fillId="0" borderId="2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2" fillId="0" borderId="24" xfId="0" applyNumberFormat="1" applyFont="1" applyBorder="1" applyAlignment="1">
      <alignment horizontal="center" vertical="center"/>
    </xf>
    <xf numFmtId="1" fontId="12" fillId="0" borderId="17" xfId="0" applyNumberFormat="1" applyFont="1" applyBorder="1" applyAlignment="1">
      <alignment horizontal="center" vertical="center"/>
    </xf>
    <xf numFmtId="1" fontId="12" fillId="0" borderId="18" xfId="0" applyNumberFormat="1" applyFont="1" applyBorder="1" applyAlignment="1">
      <alignment horizontal="center" vertical="center"/>
    </xf>
    <xf numFmtId="1" fontId="12" fillId="0" borderId="19" xfId="0" applyNumberFormat="1" applyFont="1" applyBorder="1" applyAlignment="1">
      <alignment horizontal="center" vertical="center"/>
    </xf>
    <xf numFmtId="0" fontId="8" fillId="9" borderId="20" xfId="0" applyFont="1" applyFill="1" applyBorder="1" applyAlignment="1">
      <alignment horizontal="center" vertical="center"/>
    </xf>
    <xf numFmtId="0" fontId="8" fillId="9" borderId="21" xfId="0" applyFont="1" applyFill="1" applyBorder="1" applyAlignment="1">
      <alignment horizontal="center" vertical="center"/>
    </xf>
    <xf numFmtId="0" fontId="8" fillId="9" borderId="22" xfId="0" applyFont="1" applyFill="1" applyBorder="1" applyAlignment="1">
      <alignment horizontal="center" vertical="center"/>
    </xf>
    <xf numFmtId="1" fontId="13" fillId="10" borderId="23" xfId="0" applyNumberFormat="1" applyFont="1" applyFill="1" applyBorder="1" applyAlignment="1">
      <alignment horizontal="center" vertical="center"/>
    </xf>
    <xf numFmtId="1" fontId="13" fillId="10" borderId="0" xfId="0" applyNumberFormat="1" applyFont="1" applyFill="1" applyAlignment="1">
      <alignment horizontal="center" vertical="center"/>
    </xf>
    <xf numFmtId="1" fontId="13" fillId="10" borderId="24" xfId="0" applyNumberFormat="1" applyFont="1" applyFill="1" applyBorder="1" applyAlignment="1">
      <alignment horizontal="center" vertical="center"/>
    </xf>
    <xf numFmtId="1" fontId="13" fillId="10" borderId="17" xfId="0" applyNumberFormat="1" applyFont="1" applyFill="1" applyBorder="1" applyAlignment="1">
      <alignment horizontal="center" vertical="center"/>
    </xf>
    <xf numFmtId="1" fontId="13" fillId="10" borderId="18" xfId="0" applyNumberFormat="1" applyFont="1" applyFill="1" applyBorder="1" applyAlignment="1">
      <alignment horizontal="center" vertical="center"/>
    </xf>
    <xf numFmtId="1" fontId="13" fillId="10" borderId="19" xfId="0" applyNumberFormat="1" applyFont="1" applyFill="1" applyBorder="1" applyAlignment="1">
      <alignment horizontal="center" vertical="center"/>
    </xf>
    <xf numFmtId="164" fontId="14" fillId="0" borderId="23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4" fillId="0" borderId="24" xfId="0" applyNumberFormat="1" applyFont="1" applyBorder="1" applyAlignment="1">
      <alignment horizontal="center" vertical="center"/>
    </xf>
    <xf numFmtId="164" fontId="14" fillId="0" borderId="17" xfId="0" applyNumberFormat="1" applyFont="1" applyBorder="1" applyAlignment="1">
      <alignment horizontal="center" vertical="center"/>
    </xf>
    <xf numFmtId="164" fontId="14" fillId="0" borderId="18" xfId="0" applyNumberFormat="1" applyFont="1" applyBorder="1" applyAlignment="1">
      <alignment horizontal="center" vertical="center"/>
    </xf>
    <xf numFmtId="164" fontId="14" fillId="0" borderId="19" xfId="0" applyNumberFormat="1" applyFont="1" applyBorder="1" applyAlignment="1">
      <alignment horizontal="center" vertical="center"/>
    </xf>
    <xf numFmtId="0" fontId="15" fillId="11" borderId="0" xfId="0" applyFont="1" applyFill="1" applyAlignment="1">
      <alignment horizontal="left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7" fillId="0" borderId="15" xfId="0" applyNumberFormat="1" applyFont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1" fontId="9" fillId="6" borderId="23" xfId="0" applyNumberFormat="1" applyFont="1" applyFill="1" applyBorder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1" fontId="9" fillId="6" borderId="24" xfId="0" applyNumberFormat="1" applyFont="1" applyFill="1" applyBorder="1" applyAlignment="1">
      <alignment horizontal="center" vertical="center"/>
    </xf>
    <xf numFmtId="1" fontId="9" fillId="6" borderId="17" xfId="0" applyNumberFormat="1" applyFont="1" applyFill="1" applyBorder="1" applyAlignment="1">
      <alignment horizontal="center" vertical="center"/>
    </xf>
    <xf numFmtId="1" fontId="9" fillId="6" borderId="18" xfId="0" applyNumberFormat="1" applyFont="1" applyFill="1" applyBorder="1" applyAlignment="1">
      <alignment horizontal="center" vertical="center"/>
    </xf>
    <xf numFmtId="1" fontId="9" fillId="6" borderId="19" xfId="0" applyNumberFormat="1" applyFont="1" applyFill="1" applyBorder="1" applyAlignment="1">
      <alignment horizontal="center" vertical="center"/>
    </xf>
    <xf numFmtId="0" fontId="10" fillId="7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10" fillId="7" borderId="22" xfId="0" applyFont="1" applyFill="1" applyBorder="1" applyAlignment="1">
      <alignment horizontal="center" vertical="center"/>
    </xf>
    <xf numFmtId="1" fontId="11" fillId="8" borderId="23" xfId="0" applyNumberFormat="1" applyFont="1" applyFill="1" applyBorder="1" applyAlignment="1">
      <alignment horizontal="center" vertical="center"/>
    </xf>
    <xf numFmtId="1" fontId="11" fillId="8" borderId="0" xfId="0" applyNumberFormat="1" applyFont="1" applyFill="1" applyAlignment="1">
      <alignment horizontal="center" vertical="center"/>
    </xf>
    <xf numFmtId="1" fontId="11" fillId="8" borderId="24" xfId="0" applyNumberFormat="1" applyFont="1" applyFill="1" applyBorder="1" applyAlignment="1">
      <alignment horizontal="center" vertical="center"/>
    </xf>
    <xf numFmtId="1" fontId="11" fillId="8" borderId="17" xfId="0" applyNumberFormat="1" applyFont="1" applyFill="1" applyBorder="1" applyAlignment="1">
      <alignment horizontal="center" vertical="center"/>
    </xf>
    <xf numFmtId="1" fontId="11" fillId="8" borderId="18" xfId="0" applyNumberFormat="1" applyFont="1" applyFill="1" applyBorder="1" applyAlignment="1">
      <alignment horizontal="center" vertical="center"/>
    </xf>
    <xf numFmtId="1" fontId="11" fillId="8" borderId="19" xfId="0" applyNumberFormat="1" applyFont="1" applyFill="1" applyBorder="1" applyAlignment="1">
      <alignment horizontal="center" vertical="center"/>
    </xf>
    <xf numFmtId="0" fontId="16" fillId="0" borderId="15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17" fillId="0" borderId="15" xfId="0" applyFont="1" applyBorder="1" applyAlignment="1">
      <alignment horizontal="right"/>
    </xf>
    <xf numFmtId="165" fontId="17" fillId="0" borderId="15" xfId="0" applyNumberFormat="1" applyFont="1" applyBorder="1" applyAlignment="1">
      <alignment horizontal="left"/>
    </xf>
    <xf numFmtId="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/>
    </xf>
    <xf numFmtId="0" fontId="19" fillId="11" borderId="0" xfId="0" applyFont="1" applyFill="1" applyAlignment="1">
      <alignment horizontal="left"/>
    </xf>
    <xf numFmtId="0" fontId="18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25" xfId="0" applyBorder="1" applyAlignment="1">
      <alignment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20" fillId="4" borderId="0" xfId="0" applyFont="1" applyFill="1" applyAlignment="1">
      <alignment horizontal="left" wrapText="1"/>
    </xf>
    <xf numFmtId="0" fontId="20" fillId="4" borderId="0" xfId="0" applyFont="1" applyFill="1" applyAlignment="1">
      <alignment horizontal="left"/>
    </xf>
    <xf numFmtId="0" fontId="21" fillId="0" borderId="0" xfId="0" applyFont="1" applyFill="1" applyBorder="1" applyAlignment="1">
      <alignment vertical="center" wrapText="1"/>
    </xf>
  </cellXfs>
  <cellStyles count="1">
    <cellStyle name="Normal" xfId="0" builtinId="0"/>
  </cellStyles>
  <dxfs count="60">
    <dxf>
      <font>
        <color rgb="FF50370A"/>
      </font>
      <fill>
        <patternFill>
          <bgColor rgb="FFFFF7E0"/>
        </patternFill>
      </fill>
    </dxf>
    <dxf>
      <font>
        <color rgb="FF50370A"/>
      </font>
      <fill>
        <patternFill>
          <bgColor rgb="FFFFF7E0"/>
        </patternFill>
      </fill>
    </dxf>
    <dxf>
      <font>
        <color theme="0"/>
      </font>
      <fill>
        <patternFill>
          <bgColor rgb="FF993333"/>
        </patternFill>
      </fill>
    </dxf>
    <dxf>
      <font>
        <color rgb="FF912323"/>
      </font>
      <fill>
        <patternFill>
          <bgColor rgb="FFFCEFE2"/>
        </patternFill>
      </fill>
    </dxf>
    <dxf>
      <font>
        <color rgb="FFFFFFFF"/>
      </font>
      <fill>
        <patternFill>
          <bgColor rgb="FF993333"/>
        </patternFill>
      </fill>
    </dxf>
    <dxf>
      <font>
        <color rgb="FFFFFFFF"/>
      </font>
      <fill>
        <patternFill>
          <bgColor rgb="FFBF652B"/>
        </patternFill>
      </fill>
    </dxf>
    <dxf>
      <font>
        <color rgb="FF996600"/>
      </font>
      <fill>
        <patternFill>
          <bgColor rgb="FFFFCC99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</font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7EEF5"/>
      <color rgb="FF1F374E"/>
      <color rgb="FF50370A"/>
      <color rgb="FFFFF7E0"/>
      <color rgb="FF993333"/>
      <color rgb="FFFCEFE2"/>
      <color rgb="FF912323"/>
      <color rgb="FFFFFFFF"/>
      <color rgb="FFBF652B"/>
      <color rgb="FF99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Active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and Pending Clients by Program</a:t>
            </a:r>
            <a:endParaRPr lang="en-US" b="1">
              <a:solidFill>
                <a:srgbClr val="1F374E"/>
              </a:solidFill>
              <a:latin typeface="Aptos Display" panose="020B0004020202020204" pitchFamily="34" charset="0"/>
            </a:endParaRPr>
          </a:p>
        </c:rich>
      </c:tx>
      <c:layout>
        <c:manualLayout>
          <c:xMode val="edge"/>
          <c:yMode val="edge"/>
          <c:x val="2.3978142076502729E-2"/>
          <c:y val="2.9771393207433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Metrics!$H$1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46E6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Metrics!$H$2:$H$7</c:f>
              <c:numCache>
                <c:formatCode>General</c:formatCode>
                <c:ptCount val="6"/>
                <c:pt idx="0">
                  <c:v>32</c:v>
                </c:pt>
                <c:pt idx="1">
                  <c:v>30</c:v>
                </c:pt>
                <c:pt idx="2">
                  <c:v>33</c:v>
                </c:pt>
                <c:pt idx="3">
                  <c:v>20</c:v>
                </c:pt>
                <c:pt idx="4">
                  <c:v>37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1-4D62-A1FE-22D6B94163E7}"/>
            </c:ext>
          </c:extLst>
        </c:ser>
        <c:ser>
          <c:idx val="1"/>
          <c:order val="1"/>
          <c:tx>
            <c:strRef>
              <c:f>Metrics!$I$1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E6754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Metrics!$I$2:$I$7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1-4D62-A1FE-22D6B94163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5932000"/>
        <c:axId val="1527492240"/>
      </c:barChart>
      <c:catAx>
        <c:axId val="1695932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92240"/>
        <c:crosses val="autoZero"/>
        <c:auto val="1"/>
        <c:lblAlgn val="ctr"/>
        <c:lblOffset val="100"/>
        <c:noMultiLvlLbl val="0"/>
      </c:catAx>
      <c:valAx>
        <c:axId val="15274922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9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1F374E"/>
                </a:solidFill>
                <a:latin typeface="Aptos Display" panose="020B0004020202020204" pitchFamily="34" charset="0"/>
              </a:rPr>
              <a:t>Operational</a:t>
            </a:r>
            <a:r>
              <a:rPr lang="en-US" sz="1400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Metrics!$M$1</c:f>
              <c:strCache>
                <c:ptCount val="1"/>
                <c:pt idx="0">
                  <c:v>Clients</c:v>
                </c:pt>
              </c:strCache>
            </c:strRef>
          </c:tx>
          <c:dPt>
            <c:idx val="0"/>
            <c:bubble3D val="0"/>
            <c:spPr>
              <a:solidFill>
                <a:srgbClr val="9933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9-47BF-9DF4-019D5167EC32}"/>
              </c:ext>
            </c:extLst>
          </c:dPt>
          <c:dPt>
            <c:idx val="1"/>
            <c:bubble3D val="0"/>
            <c:spPr>
              <a:solidFill>
                <a:srgbClr val="E6B14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9-47BF-9DF4-019D5167EC32}"/>
              </c:ext>
            </c:extLst>
          </c:dPt>
          <c:dPt>
            <c:idx val="2"/>
            <c:bubble3D val="0"/>
            <c:spPr>
              <a:solidFill>
                <a:srgbClr val="2E5F8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9-47BF-9DF4-019D5167EC32}"/>
              </c:ext>
            </c:extLst>
          </c:dPt>
          <c:dPt>
            <c:idx val="3"/>
            <c:bubble3D val="0"/>
            <c:spPr>
              <a:solidFill>
                <a:srgbClr val="146E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9-47BF-9DF4-019D5167EC32}"/>
              </c:ext>
            </c:extLst>
          </c:dPt>
          <c:dLbls>
            <c:dLbl>
              <c:idx val="0"/>
              <c:layout>
                <c:manualLayout>
                  <c:x val="4.3060356185191502E-2"/>
                  <c:y val="-8.90301620969858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59-47BF-9DF4-019D5167EC32}"/>
                </c:ext>
              </c:extLst>
            </c:dLbl>
            <c:dLbl>
              <c:idx val="1"/>
              <c:layout>
                <c:manualLayout>
                  <c:x val="6.7666274005300925E-2"/>
                  <c:y val="5.93534413979905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59-47BF-9DF4-019D5167EC32}"/>
                </c:ext>
              </c:extLst>
            </c:dLbl>
            <c:dLbl>
              <c:idx val="2"/>
              <c:layout>
                <c:manualLayout>
                  <c:x val="-6.7666031821070421E-2"/>
                  <c:y val="8.05510990401298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59-47BF-9DF4-019D5167EC32}"/>
                </c:ext>
              </c:extLst>
            </c:dLbl>
            <c:dLbl>
              <c:idx val="3"/>
              <c:layout>
                <c:manualLayout>
                  <c:x val="-3.6908876730164145E-2"/>
                  <c:y val="-0.1229464143244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59-47BF-9DF4-019D5167EC3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Metrics!$L$2:$L$5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Metrics!$M$2:$M$5</c:f>
              <c:numCache>
                <c:formatCode>General</c:formatCode>
                <c:ptCount val="4"/>
                <c:pt idx="0">
                  <c:v>79</c:v>
                </c:pt>
                <c:pt idx="1">
                  <c:v>24</c:v>
                </c:pt>
                <c:pt idx="2">
                  <c:v>33</c:v>
                </c:pt>
                <c:pt idx="3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59-47BF-9DF4-019D5167E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Contact Volume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Metrics!$Q$1</c:f>
              <c:strCache>
                <c:ptCount val="1"/>
                <c:pt idx="0">
                  <c:v>Contact Records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Metrics!$P$2:$P$13</c:f>
              <c:numCache>
                <c:formatCode>mmm\ yyyy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Metrics!$Q$2:$Q$13</c:f>
              <c:numCache>
                <c:formatCode>General</c:formatCode>
                <c:ptCount val="12"/>
                <c:pt idx="0">
                  <c:v>79</c:v>
                </c:pt>
                <c:pt idx="1">
                  <c:v>106</c:v>
                </c:pt>
                <c:pt idx="2">
                  <c:v>99</c:v>
                </c:pt>
                <c:pt idx="3">
                  <c:v>124</c:v>
                </c:pt>
                <c:pt idx="4">
                  <c:v>137</c:v>
                </c:pt>
                <c:pt idx="5">
                  <c:v>140</c:v>
                </c:pt>
                <c:pt idx="6">
                  <c:v>148</c:v>
                </c:pt>
                <c:pt idx="7">
                  <c:v>171</c:v>
                </c:pt>
                <c:pt idx="8">
                  <c:v>154</c:v>
                </c:pt>
                <c:pt idx="9">
                  <c:v>245</c:v>
                </c:pt>
                <c:pt idx="10">
                  <c:v>300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D-BB32-3D42E505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381744"/>
        <c:axId val="1527462000"/>
      </c:lineChart>
      <c:dateAx>
        <c:axId val="106638174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62000"/>
        <c:crosses val="autoZero"/>
        <c:auto val="1"/>
        <c:lblOffset val="100"/>
        <c:baseTimeUnit val="months"/>
      </c:dateAx>
      <c:valAx>
        <c:axId val="152746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8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Staff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Caseload vs Capacity</a:t>
            </a:r>
          </a:p>
        </c:rich>
      </c:tx>
      <c:layout>
        <c:manualLayout>
          <c:xMode val="edge"/>
          <c:yMode val="edge"/>
          <c:x val="0.24422773443225276"/>
          <c:y val="3.12674428542638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Metrics!$U$1</c:f>
              <c:strCache>
                <c:ptCount val="1"/>
                <c:pt idx="0">
                  <c:v>Open Clients</c:v>
                </c:pt>
              </c:strCache>
            </c:strRef>
          </c:tx>
          <c:spPr>
            <a:solidFill>
              <a:srgbClr val="2E5F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Metrics!$U$2:$U$15</c:f>
              <c:numCache>
                <c:formatCode>General</c:formatCode>
                <c:ptCount val="14"/>
                <c:pt idx="0">
                  <c:v>15</c:v>
                </c:pt>
                <c:pt idx="1">
                  <c:v>19</c:v>
                </c:pt>
                <c:pt idx="2">
                  <c:v>20</c:v>
                </c:pt>
                <c:pt idx="3">
                  <c:v>13</c:v>
                </c:pt>
                <c:pt idx="4">
                  <c:v>16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14</c:v>
                </c:pt>
                <c:pt idx="12">
                  <c:v>9</c:v>
                </c:pt>
                <c:pt idx="1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D-41AE-A4FE-375155BD633F}"/>
            </c:ext>
          </c:extLst>
        </c:ser>
        <c:ser>
          <c:idx val="1"/>
          <c:order val="1"/>
          <c:tx>
            <c:strRef>
              <c:f>Metrics!$V$1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BEC6CF"/>
            </a:solidFill>
            <a:ln>
              <a:noFill/>
            </a:ln>
            <a:effectLst/>
          </c:spPr>
          <c:invertIfNegative val="0"/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Metrics!$V$2:$V$15</c:f>
              <c:numCache>
                <c:formatCode>General</c:formatCode>
                <c:ptCount val="14"/>
                <c:pt idx="0">
                  <c:v>22</c:v>
                </c:pt>
                <c:pt idx="1">
                  <c:v>28</c:v>
                </c:pt>
                <c:pt idx="2">
                  <c:v>20</c:v>
                </c:pt>
                <c:pt idx="3">
                  <c:v>25</c:v>
                </c:pt>
                <c:pt idx="4">
                  <c:v>15</c:v>
                </c:pt>
                <c:pt idx="5">
                  <c:v>30</c:v>
                </c:pt>
                <c:pt idx="6">
                  <c:v>30</c:v>
                </c:pt>
                <c:pt idx="7">
                  <c:v>18</c:v>
                </c:pt>
                <c:pt idx="8">
                  <c:v>22</c:v>
                </c:pt>
                <c:pt idx="9">
                  <c:v>15</c:v>
                </c:pt>
                <c:pt idx="10">
                  <c:v>26</c:v>
                </c:pt>
                <c:pt idx="11">
                  <c:v>26</c:v>
                </c:pt>
                <c:pt idx="12">
                  <c:v>18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D-41AE-A4FE-375155BD6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695894880"/>
        <c:axId val="1527476880"/>
      </c:barChart>
      <c:catAx>
        <c:axId val="16958948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76880"/>
        <c:crosses val="autoZero"/>
        <c:auto val="1"/>
        <c:lblAlgn val="ctr"/>
        <c:lblOffset val="100"/>
        <c:noMultiLvlLbl val="0"/>
      </c:catAx>
      <c:valAx>
        <c:axId val="15274768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bg2">
                        <a:lumMod val="25000"/>
                      </a:schemeClr>
                    </a:solidFill>
                  </a:rPr>
                  <a:t>Clients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8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Inactive Queue'!A1"/><Relationship Id="rId2" Type="http://schemas.openxmlformats.org/officeDocument/2006/relationships/hyperlink" Target="#'Priority Queue'!A1"/><Relationship Id="rId1" Type="http://schemas.openxmlformats.org/officeDocument/2006/relationships/hyperlink" Target="#Dashboard!A1"/><Relationship Id="rId4" Type="http://schemas.openxmlformats.org/officeDocument/2006/relationships/hyperlink" Target="#'Data Quality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Data Quality'!A1"/><Relationship Id="rId3" Type="http://schemas.openxmlformats.org/officeDocument/2006/relationships/chart" Target="../charts/chart3.xml"/><Relationship Id="rId7" Type="http://schemas.openxmlformats.org/officeDocument/2006/relationships/hyperlink" Target="#'Inactive Queue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riority Queue'!A1"/><Relationship Id="rId5" Type="http://schemas.openxmlformats.org/officeDocument/2006/relationships/hyperlink" Target="#Dashboard!A1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33</xdr:row>
      <xdr:rowOff>47625</xdr:rowOff>
    </xdr:from>
    <xdr:to>
      <xdr:col>2</xdr:col>
      <xdr:colOff>514350</xdr:colOff>
      <xdr:row>37</xdr:row>
      <xdr:rowOff>19050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7D450E-2CA5-7673-F433-7E02134DB473}"/>
            </a:ext>
          </a:extLst>
        </xdr:cNvPr>
        <xdr:cNvSpPr/>
      </xdr:nvSpPr>
      <xdr:spPr>
        <a:xfrm>
          <a:off x="609600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Dashboard</a:t>
          </a:r>
        </a:p>
      </xdr:txBody>
    </xdr:sp>
    <xdr:clientData/>
  </xdr:twoCellAnchor>
  <xdr:twoCellAnchor>
    <xdr:from>
      <xdr:col>2</xdr:col>
      <xdr:colOff>1174750</xdr:colOff>
      <xdr:row>33</xdr:row>
      <xdr:rowOff>47625</xdr:rowOff>
    </xdr:from>
    <xdr:to>
      <xdr:col>4</xdr:col>
      <xdr:colOff>307975</xdr:colOff>
      <xdr:row>37</xdr:row>
      <xdr:rowOff>19050</xdr:rowOff>
    </xdr:to>
    <xdr:sp macro="" textlink="">
      <xdr:nvSpPr>
        <xdr:cNvPr id="3" name="Rectangle: Rounded Corner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92C0B0-39EF-46A1-9E76-CF9888F28CC6}"/>
            </a:ext>
          </a:extLst>
        </xdr:cNvPr>
        <xdr:cNvSpPr/>
      </xdr:nvSpPr>
      <xdr:spPr>
        <a:xfrm>
          <a:off x="2803525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Priority Queue</a:t>
          </a:r>
        </a:p>
      </xdr:txBody>
    </xdr:sp>
    <xdr:clientData/>
  </xdr:twoCellAnchor>
  <xdr:twoCellAnchor>
    <xdr:from>
      <xdr:col>5</xdr:col>
      <xdr:colOff>187325</xdr:colOff>
      <xdr:row>33</xdr:row>
      <xdr:rowOff>47625</xdr:rowOff>
    </xdr:from>
    <xdr:to>
      <xdr:col>7</xdr:col>
      <xdr:colOff>158750</xdr:colOff>
      <xdr:row>37</xdr:row>
      <xdr:rowOff>19050</xdr:rowOff>
    </xdr:to>
    <xdr:sp macro="" textlink="">
      <xdr:nvSpPr>
        <xdr:cNvPr id="4" name="Rectangle: Rounded Corner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6706C8C-9809-4162-97EC-C3402AE8E7C3}"/>
            </a:ext>
          </a:extLst>
        </xdr:cNvPr>
        <xdr:cNvSpPr/>
      </xdr:nvSpPr>
      <xdr:spPr>
        <a:xfrm>
          <a:off x="4997450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Inactive Queue</a:t>
          </a:r>
        </a:p>
      </xdr:txBody>
    </xdr:sp>
    <xdr:clientData/>
  </xdr:twoCellAnchor>
  <xdr:twoCellAnchor>
    <xdr:from>
      <xdr:col>8</xdr:col>
      <xdr:colOff>38100</xdr:colOff>
      <xdr:row>33</xdr:row>
      <xdr:rowOff>47625</xdr:rowOff>
    </xdr:from>
    <xdr:to>
      <xdr:col>10</xdr:col>
      <xdr:colOff>9525</xdr:colOff>
      <xdr:row>37</xdr:row>
      <xdr:rowOff>19050</xdr:rowOff>
    </xdr:to>
    <xdr:sp macro="" textlink="">
      <xdr:nvSpPr>
        <xdr:cNvPr id="5" name="Rectangle: Rounded Corner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7F6F540-5F75-41B6-81EB-7C75D3EE71BC}"/>
            </a:ext>
          </a:extLst>
        </xdr:cNvPr>
        <xdr:cNvSpPr/>
      </xdr:nvSpPr>
      <xdr:spPr>
        <a:xfrm>
          <a:off x="7191375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Data Quality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16</xdr:row>
      <xdr:rowOff>14287</xdr:rowOff>
    </xdr:from>
    <xdr:to>
      <xdr:col>9</xdr:col>
      <xdr:colOff>104775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198814-3B4E-38D9-2606-7FA6CE4D9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128587</xdr:colOff>
      <xdr:row>16</xdr:row>
      <xdr:rowOff>9525</xdr:rowOff>
    </xdr:from>
    <xdr:to>
      <xdr:col>14</xdr:col>
      <xdr:colOff>771525</xdr:colOff>
      <xdr:row>31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97022-94B1-7C08-6BEC-0D19A04E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4761</xdr:colOff>
      <xdr:row>33</xdr:row>
      <xdr:rowOff>166687</xdr:rowOff>
    </xdr:from>
    <xdr:to>
      <xdr:col>9</xdr:col>
      <xdr:colOff>104774</xdr:colOff>
      <xdr:row>48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2F14C9-1260-C2D0-5D13-FC51DF61E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119062</xdr:colOff>
      <xdr:row>33</xdr:row>
      <xdr:rowOff>166685</xdr:rowOff>
    </xdr:from>
    <xdr:to>
      <xdr:col>15</xdr:col>
      <xdr:colOff>66675</xdr:colOff>
      <xdr:row>61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5D0375-0239-1F89-8F5B-2ABD1EEF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104775</xdr:colOff>
      <xdr:row>1</xdr:row>
      <xdr:rowOff>19050</xdr:rowOff>
    </xdr:from>
    <xdr:to>
      <xdr:col>11</xdr:col>
      <xdr:colOff>9525</xdr:colOff>
      <xdr:row>2</xdr:row>
      <xdr:rowOff>223838</xdr:rowOff>
    </xdr:to>
    <xdr:sp macro="" textlink="">
      <xdr:nvSpPr>
        <xdr:cNvPr id="6" name="Rectangle: Rounded Corner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694EB7D-2C0C-0ECB-44C4-15D48E6D944D}"/>
            </a:ext>
          </a:extLst>
        </xdr:cNvPr>
        <xdr:cNvSpPr/>
      </xdr:nvSpPr>
      <xdr:spPr>
        <a:xfrm>
          <a:off x="6429375" y="209550"/>
          <a:ext cx="933450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/>
            <a:t>Dashboard</a:t>
          </a:r>
        </a:p>
      </xdr:txBody>
    </xdr:sp>
    <xdr:clientData/>
  </xdr:twoCellAnchor>
  <xdr:twoCellAnchor>
    <xdr:from>
      <xdr:col>11</xdr:col>
      <xdr:colOff>97011</xdr:colOff>
      <xdr:row>1</xdr:row>
      <xdr:rowOff>19050</xdr:rowOff>
    </xdr:from>
    <xdr:to>
      <xdr:col>12</xdr:col>
      <xdr:colOff>255592</xdr:colOff>
      <xdr:row>2</xdr:row>
      <xdr:rowOff>223838</xdr:rowOff>
    </xdr:to>
    <xdr:sp macro="" textlink="">
      <xdr:nvSpPr>
        <xdr:cNvPr id="7" name="Rectangle: Rounded Corners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800E576-6C24-4385-9689-86B2E2205006}"/>
            </a:ext>
          </a:extLst>
        </xdr:cNvPr>
        <xdr:cNvSpPr/>
      </xdr:nvSpPr>
      <xdr:spPr>
        <a:xfrm>
          <a:off x="7450311" y="209550"/>
          <a:ext cx="939631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800" b="1"/>
            <a:t>Priority Queue</a:t>
          </a:r>
        </a:p>
      </xdr:txBody>
    </xdr:sp>
    <xdr:clientData/>
  </xdr:twoCellAnchor>
  <xdr:twoCellAnchor>
    <xdr:from>
      <xdr:col>12</xdr:col>
      <xdr:colOff>342183</xdr:colOff>
      <xdr:row>1</xdr:row>
      <xdr:rowOff>19050</xdr:rowOff>
    </xdr:from>
    <xdr:to>
      <xdr:col>13</xdr:col>
      <xdr:colOff>482219</xdr:colOff>
      <xdr:row>2</xdr:row>
      <xdr:rowOff>223838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35EAB0B-C371-48A1-B526-DD4352C6EEC9}"/>
            </a:ext>
          </a:extLst>
        </xdr:cNvPr>
        <xdr:cNvSpPr/>
      </xdr:nvSpPr>
      <xdr:spPr>
        <a:xfrm>
          <a:off x="8476533" y="209550"/>
          <a:ext cx="921086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800" b="1"/>
            <a:t>Inactive Queue</a:t>
          </a:r>
        </a:p>
      </xdr:txBody>
    </xdr:sp>
    <xdr:clientData/>
  </xdr:twoCellAnchor>
  <xdr:twoCellAnchor>
    <xdr:from>
      <xdr:col>13</xdr:col>
      <xdr:colOff>571499</xdr:colOff>
      <xdr:row>1</xdr:row>
      <xdr:rowOff>19050</xdr:rowOff>
    </xdr:from>
    <xdr:to>
      <xdr:col>14</xdr:col>
      <xdr:colOff>748626</xdr:colOff>
      <xdr:row>2</xdr:row>
      <xdr:rowOff>223838</xdr:rowOff>
    </xdr:to>
    <xdr:sp macro="" textlink="">
      <xdr:nvSpPr>
        <xdr:cNvPr id="9" name="Rectangle: Rounded Corners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662ADD8-0DB7-4C6E-BB7B-7F3EC84F59DD}"/>
            </a:ext>
          </a:extLst>
        </xdr:cNvPr>
        <xdr:cNvSpPr/>
      </xdr:nvSpPr>
      <xdr:spPr>
        <a:xfrm>
          <a:off x="9486899" y="209550"/>
          <a:ext cx="958177" cy="39528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Data Quality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161924</xdr:rowOff>
    </xdr:from>
    <xdr:to>
      <xdr:col>13</xdr:col>
      <xdr:colOff>47625</xdr:colOff>
      <xdr:row>5</xdr:row>
      <xdr:rowOff>28575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457B4E9-7569-8BDD-578D-B6A849AC6BD4}"/>
            </a:ext>
          </a:extLst>
        </xdr:cNvPr>
        <xdr:cNvSpPr/>
      </xdr:nvSpPr>
      <xdr:spPr>
        <a:xfrm>
          <a:off x="11334750" y="161924"/>
          <a:ext cx="1533525" cy="81915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104775</xdr:colOff>
      <xdr:row>0</xdr:row>
      <xdr:rowOff>85725</xdr:rowOff>
    </xdr:from>
    <xdr:to>
      <xdr:col>14</xdr:col>
      <xdr:colOff>428625</xdr:colOff>
      <xdr:row>5</xdr:row>
      <xdr:rowOff>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2C8882-2981-C222-0D3F-F687924FCEAC}"/>
            </a:ext>
          </a:extLst>
        </xdr:cNvPr>
        <xdr:cNvSpPr/>
      </xdr:nvSpPr>
      <xdr:spPr>
        <a:xfrm>
          <a:off x="13687425" y="85725"/>
          <a:ext cx="1543050" cy="8667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</a:t>
          </a:r>
          <a:r>
            <a:rPr lang="en-US" sz="1800" b="1" baseline="0"/>
            <a:t> Back to Dashboard</a:t>
          </a:r>
          <a:endParaRPr lang="en-US" sz="18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6</xdr:row>
      <xdr:rowOff>104775</xdr:rowOff>
    </xdr:from>
    <xdr:to>
      <xdr:col>13</xdr:col>
      <xdr:colOff>95250</xdr:colOff>
      <xdr:row>11</xdr:row>
      <xdr:rowOff>57150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6F7CB5-5401-BDCF-9BDD-BCA83D283709}"/>
            </a:ext>
          </a:extLst>
        </xdr:cNvPr>
        <xdr:cNvSpPr/>
      </xdr:nvSpPr>
      <xdr:spPr>
        <a:xfrm>
          <a:off x="11744325" y="1247775"/>
          <a:ext cx="1819275" cy="9048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15536DC-6ECF-4B13-9FE4-C88A327A02BA}" autoFormatId="16" applyNumberFormats="0" applyBorderFormats="0" applyFontFormats="0" applyPatternFormats="0" applyAlignmentFormats="0" applyWidthHeightFormats="0">
  <queryTableRefresh nextId="13">
    <queryTableFields count="12">
      <queryTableField id="1" name="ClientID" tableColumnId="1"/>
      <queryTableField id="2" name="FirstName" tableColumnId="2"/>
      <queryTableField id="3" name="LastName" tableColumnId="3"/>
      <queryTableField id="4" name="ProgramID" tableColumnId="4"/>
      <queryTableField id="5" name="AssignedStaffID" tableColumnId="5"/>
      <queryTableField id="6" name="ClientStatus" tableColumnId="6"/>
      <queryTableField id="7" name="LatestSuccessfulContact" tableColumnId="7"/>
      <queryTableField id="8" name="DaysSinceContact" tableColumnId="8"/>
      <queryTableField id="9" name="BaseRiskLevel" tableColumnId="9"/>
      <queryTableField id="10" name="FollowUpRequired" tableColumnId="10"/>
      <queryTableField id="11" name="NeedsInactivityReview" tableColumnId="11"/>
      <queryTableField id="12" name="OperationalPriorit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9C245A27-35CF-4722-B279-6A1326F79C47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EnrollmentDate" tableColumnId="4"/>
      <queryTableField id="5" name="ProgramID" tableColumnId="5"/>
      <queryTableField id="6" name="AssignedStaffID" tableColumnId="6"/>
      <queryTableField id="7" name="ClientStatus" tableColumnId="7"/>
      <queryTableField id="8" name="ExitDate" tableColumnId="8"/>
      <queryTableField id="9" name="LatestSuccessfulContact" tableColumnId="9"/>
      <queryTableField id="10" name="ContactCount" tableColumnId="10"/>
      <queryTableField id="11" name="DataQualityIssue" tableColumnId="1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C8B98D1C-430E-4C04-AA24-4DF54DAA677C}" autoFormatId="16" applyNumberFormats="0" applyBorderFormats="0" applyFontFormats="0" applyPatternFormats="0" applyAlignmentFormats="0" applyWidthHeightFormats="0">
  <queryTableRefresh nextId="4">
    <queryTableFields count="3">
      <queryTableField id="1" name="DataQualityCheck" tableColumnId="1"/>
      <queryTableField id="2" name="IssueCount" tableColumnId="2"/>
      <queryTableField id="3" name="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59"/>
    <tableColumn id="2" xr3:uid="{C472C2CA-7511-4D46-91F2-DFD764571DA5}" name="Value" dataDxfId="58"/>
    <tableColumn id="3" xr3:uid="{62A9F551-0E36-4944-A774-500497612FD6}" name="Description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56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5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54"/>
    <tableColumn id="3" xr3:uid="{3CFB6CBA-305B-4509-8B89-640A421E5C7D}" uniqueName="3" name="LastName" queryTableFieldId="3" dataDxfId="53"/>
    <tableColumn id="4" xr3:uid="{D6413BF4-E7C9-44FE-BA21-840311F86833}" uniqueName="4" name="DateOfBirth" queryTableFieldId="4" dataDxfId="35"/>
    <tableColumn id="5" xr3:uid="{EC171F66-E8E8-4677-963B-E817B0DF414A}" uniqueName="5" name="EnrollmentDate" queryTableFieldId="5" dataDxfId="34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52"/>
    <tableColumn id="9" xr3:uid="{F9DD199A-2057-4FBA-859A-46B24682F012}" uniqueName="9" name="BaseRiskLevel" queryTableFieldId="9" dataDxfId="51"/>
    <tableColumn id="10" xr3:uid="{52446016-85E3-4B0C-9FCE-6F832315860A}" uniqueName="10" name="ExitDate" queryTableFieldId="10" dataDxfId="33"/>
    <tableColumn id="11" xr3:uid="{90CB0CDC-4688-4055-8247-8E256D936874}" uniqueName="11" name="ExitReason" queryTableFieldId="11" dataDxfId="50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32"/>
    <tableColumn id="5" xr3:uid="{06581E70-20EE-48A9-A16A-75F8A15AE7F2}" uniqueName="5" name="ContactType" queryTableFieldId="5" dataDxfId="49"/>
    <tableColumn id="6" xr3:uid="{F10DBBA1-D570-4FFA-9CA5-A9A5393D9ED9}" uniqueName="6" name="ContactOutcome" queryTableFieldId="6" dataDxfId="48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31"/>
    <tableColumn id="9" xr3:uid="{5235AC37-B6CA-4AEA-ADC7-3A0C2876536F}" uniqueName="9" name="ContactNotesCategory" queryTableFieldId="9" dataDxfId="4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46"/>
    <tableColumn id="3" xr3:uid="{A9979A8F-C6AB-45CA-8CE2-BE0F4741987E}" uniqueName="3" name="LastName" queryTableFieldId="3" dataDxfId="45"/>
    <tableColumn id="4" xr3:uid="{4410132D-D660-4D19-96CE-97882A6A56BA}" uniqueName="4" name="DateOfBirth" queryTableFieldId="4" dataDxfId="30"/>
    <tableColumn id="5" xr3:uid="{33A0F846-8D40-4311-8E70-3555F48607D8}" uniqueName="5" name="EnrollmentDate" queryTableFieldId="5" dataDxfId="29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44"/>
    <tableColumn id="9" xr3:uid="{EFA26729-058C-43A8-920B-FD85249E0CDF}" uniqueName="9" name="BaseRiskLevel" queryTableFieldId="9" dataDxfId="43"/>
    <tableColumn id="10" xr3:uid="{3555D89F-D3D2-4AD3-A8D8-4F1275EA70D5}" uniqueName="10" name="ExitDate" queryTableFieldId="10" dataDxfId="28"/>
    <tableColumn id="11" xr3:uid="{6E61399B-195C-4F71-859B-BF68F67A5BD7}" uniqueName="11" name="ExitReason" queryTableFieldId="11" dataDxfId="42"/>
    <tableColumn id="12" xr3:uid="{2F8745FA-972A-4279-B1B2-EF5FB7762B66}" uniqueName="12" name="LatestSuccessfulContact" queryTableFieldId="12" dataDxfId="27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41"/>
    <tableColumn id="19" xr3:uid="{FE8AA211-7FD2-4AEC-BA68-98FD65AA7A56}" uniqueName="19" name="ApproachingInactivity" queryTableFieldId="19" dataDxfId="40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39"/>
    <tableColumn id="3" xr3:uid="{F3F5BCC5-2180-4644-8AA9-451FBE2B76EF}" uniqueName="3" name="LastName" queryTableFieldId="3" dataDxfId="38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37"/>
    <tableColumn id="9" xr3:uid="{3F1AE53D-D4C3-4F65-A2C6-6AA40B561F65}" uniqueName="9" name="FollowUpRequired" queryTableFieldId="9" dataDxfId="36"/>
    <tableColumn id="10" xr3:uid="{1205A5E3-84A3-4377-9CEE-1CBCA290E629}" uniqueName="10" name="NeedsInactivityReview" queryTableField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327D4-49D5-4D98-BB50-466649C08A28}" name="tblInactiveQueue" displayName="tblInactiveQueue" ref="A1:L80" tableType="queryTable" totalsRowShown="0">
  <autoFilter ref="A1:L80" xr:uid="{DD6327D4-49D5-4D98-BB50-466649C08A28}"/>
  <tableColumns count="12">
    <tableColumn id="1" xr3:uid="{749AB901-591C-405A-8B16-3FF11DFE6D5B}" uniqueName="1" name="ClientID" queryTableFieldId="1"/>
    <tableColumn id="2" xr3:uid="{BD5E8375-499D-46B4-8024-48A9C5C740ED}" uniqueName="2" name="FirstName" queryTableFieldId="2" dataDxfId="26"/>
    <tableColumn id="3" xr3:uid="{2D4110F1-EC80-45DE-A825-95E7FD99F7F7}" uniqueName="3" name="LastName" queryTableFieldId="3" dataDxfId="25"/>
    <tableColumn id="4" xr3:uid="{421CBA76-3410-4983-8DA5-CB6F4CA850F2}" uniqueName="4" name="ProgramID" queryTableFieldId="4"/>
    <tableColumn id="5" xr3:uid="{DD841456-CC74-47E7-92E3-CA34671FD85A}" uniqueName="5" name="AssignedStaffID" queryTableFieldId="5"/>
    <tableColumn id="6" xr3:uid="{1D9D42FC-3EB1-4641-8A1D-49AEA359571D}" uniqueName="6" name="ClientStatus" queryTableFieldId="6" dataDxfId="24"/>
    <tableColumn id="7" xr3:uid="{1388B702-0DC9-435D-AC54-FFD6EF2C5853}" uniqueName="7" name="LatestSuccessfulContact" queryTableFieldId="7" dataDxfId="23"/>
    <tableColumn id="8" xr3:uid="{73DF35B2-9D4B-4967-A7E2-CE7242698130}" uniqueName="8" name="DaysSinceContact" queryTableFieldId="8"/>
    <tableColumn id="9" xr3:uid="{F4449096-F963-4A41-8766-2A7979509D15}" uniqueName="9" name="BaseRiskLevel" queryTableFieldId="9" dataDxfId="22"/>
    <tableColumn id="10" xr3:uid="{5D228A72-F73A-48A6-9994-558EC4B87B45}" uniqueName="10" name="FollowUpRequired" queryTableFieldId="10" dataDxfId="21"/>
    <tableColumn id="11" xr3:uid="{958F086B-A0A5-467A-9F19-D2456A548ABA}" uniqueName="11" name="NeedsInactivityReview" queryTableFieldId="11"/>
    <tableColumn id="12" xr3:uid="{CEC38B6C-E9BD-4E34-A25F-B7464F5108C6}" uniqueName="12" name="OperationalPriority" queryTableFieldId="1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D7865F-5C88-47E9-B7C7-20ADE9284D32}" name="tblClientDataQuality" displayName="tblClientDataQuality" ref="A1:K3" tableType="queryTable" totalsRowShown="0">
  <autoFilter ref="A1:K3" xr:uid="{7ED7865F-5C88-47E9-B7C7-20ADE9284D32}"/>
  <tableColumns count="11">
    <tableColumn id="1" xr3:uid="{A5BEAF04-70D9-48A6-B86E-14A4FFF2F5BA}" uniqueName="1" name="ClientID" queryTableFieldId="1"/>
    <tableColumn id="2" xr3:uid="{C5027E82-4898-431F-8134-AA0E3C557F6A}" uniqueName="2" name="FirstName" queryTableFieldId="2" dataDxfId="20"/>
    <tableColumn id="3" xr3:uid="{A636ACA9-CCC1-41E5-9883-3399DC00FA7C}" uniqueName="3" name="LastName" queryTableFieldId="3" dataDxfId="19"/>
    <tableColumn id="4" xr3:uid="{032C94BB-DF89-4C1E-842B-39D11035F9EF}" uniqueName="4" name="EnrollmentDate" queryTableFieldId="4" dataDxfId="18"/>
    <tableColumn id="5" xr3:uid="{22E9AC6E-3501-476D-AE4B-C3BEA9CBDE59}" uniqueName="5" name="ProgramID" queryTableFieldId="5"/>
    <tableColumn id="6" xr3:uid="{75B9DEEA-42D9-46CD-8AA2-AAEC3C0EB073}" uniqueName="6" name="AssignedStaffID" queryTableFieldId="6"/>
    <tableColumn id="7" xr3:uid="{D391DC72-B76C-4C56-B7D0-BBFD067BBE8E}" uniqueName="7" name="ClientStatus" queryTableFieldId="7" dataDxfId="17"/>
    <tableColumn id="8" xr3:uid="{383C4F3C-658B-44F2-BD2F-74742F50FD28}" uniqueName="8" name="ExitDate" queryTableFieldId="8" dataDxfId="16"/>
    <tableColumn id="9" xr3:uid="{8E1590DE-649A-48DB-A3A4-24B154B5B091}" uniqueName="9" name="LatestSuccessfulContact" queryTableFieldId="9" dataDxfId="15"/>
    <tableColumn id="10" xr3:uid="{DC1A5489-F991-4CB8-8952-4E21DA846BA5}" uniqueName="10" name="ContactCount" queryTableFieldId="10"/>
    <tableColumn id="11" xr3:uid="{3179E89A-4BBA-4E0E-89FF-5EE576375A0F}" uniqueName="11" name="DataQualityIssue" queryTableFieldId="1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EABDA7-9C8F-4AF6-91E6-2153A5A6E4F4}" name="tblDataQualitySummary" displayName="tblDataQualitySummary" ref="M1:O5" tableType="queryTable" totalsRowShown="0" headerRowDxfId="12">
  <autoFilter ref="M1:O5" xr:uid="{A7EABDA7-9C8F-4AF6-91E6-2153A5A6E4F4}"/>
  <tableColumns count="3">
    <tableColumn id="1" xr3:uid="{98B95330-472C-4140-B616-B52E9D6192CB}" uniqueName="1" name="DataQualityCheck" queryTableFieldId="1" dataDxfId="14"/>
    <tableColumn id="2" xr3:uid="{2C90EC2B-E392-4ACB-A66A-FD24F5CADB4E}" uniqueName="2" name="IssueCount" queryTableFieldId="2"/>
    <tableColumn id="3" xr3:uid="{0A4033C8-9A92-4E43-A95C-523FBE6A7F37}" uniqueName="3" name="Status" queryTableFieldId="3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B2:J32"/>
  <sheetViews>
    <sheetView showGridLines="0" topLeftCell="A20" workbookViewId="0">
      <selection activeCell="K26" sqref="K26"/>
    </sheetView>
  </sheetViews>
  <sheetFormatPr defaultRowHeight="15"/>
  <cols>
    <col min="2" max="2" width="15.28515625" customWidth="1"/>
    <col min="3" max="3" width="24.28515625" customWidth="1"/>
    <col min="4" max="10" width="11.7109375" customWidth="1"/>
  </cols>
  <sheetData>
    <row r="2" spans="2:10">
      <c r="B2" s="89" t="s">
        <v>289</v>
      </c>
      <c r="C2" s="90"/>
      <c r="D2" s="90"/>
      <c r="E2" s="90"/>
      <c r="F2" s="90"/>
      <c r="G2" s="90"/>
      <c r="H2" s="90"/>
      <c r="I2" s="90"/>
      <c r="J2" s="90"/>
    </row>
    <row r="3" spans="2:10">
      <c r="B3" s="90"/>
      <c r="C3" s="90"/>
      <c r="D3" s="90"/>
      <c r="E3" s="90"/>
      <c r="F3" s="90"/>
      <c r="G3" s="90"/>
      <c r="H3" s="90"/>
      <c r="I3" s="90"/>
      <c r="J3" s="90"/>
    </row>
    <row r="5" spans="2:10">
      <c r="B5" s="87" t="s">
        <v>291</v>
      </c>
    </row>
    <row r="6" spans="2:10">
      <c r="B6" s="92" t="s">
        <v>290</v>
      </c>
      <c r="C6" s="92"/>
      <c r="D6" s="92"/>
      <c r="E6" s="92"/>
      <c r="F6" s="92"/>
      <c r="G6" s="92"/>
      <c r="H6" s="92"/>
      <c r="I6" s="92"/>
      <c r="J6" s="92"/>
    </row>
    <row r="7" spans="2:10">
      <c r="B7" s="92"/>
      <c r="C7" s="92"/>
      <c r="D7" s="92"/>
      <c r="E7" s="92"/>
      <c r="F7" s="92"/>
      <c r="G7" s="92"/>
      <c r="H7" s="92"/>
      <c r="I7" s="92"/>
      <c r="J7" s="92"/>
    </row>
    <row r="9" spans="2:10">
      <c r="B9" s="87" t="s">
        <v>292</v>
      </c>
    </row>
    <row r="10" spans="2:10">
      <c r="B10" s="92" t="s">
        <v>293</v>
      </c>
      <c r="C10" s="91"/>
      <c r="D10" s="91"/>
      <c r="E10" s="91"/>
      <c r="F10" s="91"/>
      <c r="G10" s="91"/>
      <c r="H10" s="91"/>
      <c r="I10" s="91"/>
      <c r="J10" s="91"/>
    </row>
    <row r="11" spans="2:10">
      <c r="B11" s="91"/>
      <c r="C11" s="91"/>
      <c r="D11" s="91"/>
      <c r="E11" s="91"/>
      <c r="F11" s="91"/>
      <c r="G11" s="91"/>
      <c r="H11" s="91"/>
      <c r="I11" s="91"/>
      <c r="J11" s="91"/>
    </row>
    <row r="12" spans="2:10">
      <c r="B12" s="91"/>
      <c r="C12" s="91"/>
      <c r="D12" s="91"/>
      <c r="E12" s="91"/>
      <c r="F12" s="91"/>
      <c r="G12" s="91"/>
      <c r="H12" s="91"/>
      <c r="I12" s="91"/>
      <c r="J12" s="91"/>
    </row>
    <row r="13" spans="2:10">
      <c r="B13" s="91"/>
      <c r="C13" s="91"/>
      <c r="D13" s="91"/>
      <c r="E13" s="91"/>
      <c r="F13" s="91"/>
      <c r="G13" s="91"/>
      <c r="H13" s="91"/>
      <c r="I13" s="91"/>
      <c r="J13" s="91"/>
    </row>
    <row r="15" spans="2:10">
      <c r="B15" s="87" t="s">
        <v>294</v>
      </c>
    </row>
    <row r="16" spans="2:10">
      <c r="B16" s="94" t="s">
        <v>295</v>
      </c>
      <c r="C16" s="94" t="s">
        <v>291</v>
      </c>
    </row>
    <row r="17" spans="2:10" ht="45">
      <c r="B17" s="93" t="s">
        <v>296</v>
      </c>
      <c r="C17" s="93" t="s">
        <v>297</v>
      </c>
    </row>
    <row r="18" spans="2:10" ht="30">
      <c r="B18" s="93" t="s">
        <v>298</v>
      </c>
      <c r="C18" s="93" t="s">
        <v>299</v>
      </c>
    </row>
    <row r="19" spans="2:10" ht="45">
      <c r="B19" s="93" t="s">
        <v>300</v>
      </c>
      <c r="C19" s="93" t="s">
        <v>301</v>
      </c>
    </row>
    <row r="20" spans="2:10" ht="30">
      <c r="B20" s="93" t="s">
        <v>302</v>
      </c>
      <c r="C20" s="93" t="s">
        <v>303</v>
      </c>
    </row>
    <row r="21" spans="2:10" ht="30">
      <c r="B21" s="93" t="s">
        <v>304</v>
      </c>
      <c r="C21" s="93" t="s">
        <v>305</v>
      </c>
    </row>
    <row r="22" spans="2:10" ht="30">
      <c r="B22" s="93" t="s">
        <v>260</v>
      </c>
      <c r="C22" s="93" t="s">
        <v>306</v>
      </c>
    </row>
    <row r="23" spans="2:10" ht="30">
      <c r="B23" s="93" t="s">
        <v>258</v>
      </c>
      <c r="C23" s="93" t="s">
        <v>307</v>
      </c>
    </row>
    <row r="24" spans="2:10" ht="30">
      <c r="B24" s="93" t="s">
        <v>273</v>
      </c>
      <c r="C24" s="93" t="s">
        <v>308</v>
      </c>
    </row>
    <row r="25" spans="2:10" ht="30">
      <c r="B25" s="93" t="s">
        <v>253</v>
      </c>
      <c r="C25" s="93" t="s">
        <v>309</v>
      </c>
    </row>
    <row r="26" spans="2:10" ht="30">
      <c r="B26" s="93" t="s">
        <v>234</v>
      </c>
      <c r="C26" s="93" t="s">
        <v>310</v>
      </c>
    </row>
    <row r="27" spans="2:10" ht="30">
      <c r="B27" s="93" t="s">
        <v>311</v>
      </c>
      <c r="C27" s="93" t="s">
        <v>312</v>
      </c>
    </row>
    <row r="30" spans="2:10" ht="30">
      <c r="B30" s="97" t="s">
        <v>313</v>
      </c>
    </row>
    <row r="31" spans="2:10">
      <c r="B31" s="95" t="s">
        <v>314</v>
      </c>
      <c r="C31" s="96"/>
      <c r="D31" s="96"/>
      <c r="E31" s="96"/>
      <c r="F31" s="96"/>
      <c r="G31" s="96"/>
      <c r="H31" s="96"/>
      <c r="I31" s="96"/>
      <c r="J31" s="96"/>
    </row>
    <row r="32" spans="2:10">
      <c r="B32" s="96"/>
      <c r="C32" s="96"/>
      <c r="D32" s="96"/>
      <c r="E32" s="96"/>
      <c r="F32" s="96"/>
      <c r="G32" s="96"/>
      <c r="H32" s="96"/>
      <c r="I32" s="96"/>
      <c r="J32" s="96"/>
    </row>
  </sheetData>
  <mergeCells count="4">
    <mergeCell ref="B2:J3"/>
    <mergeCell ref="B6:J7"/>
    <mergeCell ref="B10:J13"/>
    <mergeCell ref="B31:J3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>
      <selection activeCell="A2" sqref="A2"/>
    </sheetView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workbookViewId="0"/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sqref="A1:K251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E6" sqref="E6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style="7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s="7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F22" sqref="F22:F23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W15"/>
  <sheetViews>
    <sheetView topLeftCell="E7" workbookViewId="0">
      <selection activeCell="T1" sqref="T1:V15"/>
    </sheetView>
  </sheetViews>
  <sheetFormatPr defaultRowHeight="15"/>
  <cols>
    <col min="2" max="2" width="11.5703125" bestFit="1" customWidth="1"/>
    <col min="4" max="4" width="14.42578125" customWidth="1"/>
    <col min="6" max="6" width="14.42578125" customWidth="1"/>
    <col min="7" max="7" width="29.28515625" bestFit="1" customWidth="1"/>
    <col min="8" max="8" width="6.5703125" bestFit="1" customWidth="1"/>
    <col min="9" max="9" width="8.28515625" bestFit="1" customWidth="1"/>
    <col min="10" max="10" width="7.140625" bestFit="1" customWidth="1"/>
    <col min="16" max="16" width="9.7109375" bestFit="1" customWidth="1"/>
    <col min="17" max="17" width="16.140625" customWidth="1"/>
    <col min="19" max="19" width="7.42578125" bestFit="1" customWidth="1"/>
    <col min="20" max="20" width="15.85546875" bestFit="1" customWidth="1"/>
    <col min="21" max="21" width="12.42578125" bestFit="1" customWidth="1"/>
    <col min="22" max="22" width="8.42578125" bestFit="1" customWidth="1"/>
    <col min="23" max="23" width="10.28515625" style="28" bestFit="1" customWidth="1"/>
  </cols>
  <sheetData>
    <row r="1" spans="1:23" ht="30">
      <c r="A1" s="8" t="s">
        <v>231</v>
      </c>
      <c r="B1" s="9" t="s">
        <v>1</v>
      </c>
      <c r="C1" s="9" t="s">
        <v>232</v>
      </c>
      <c r="D1" s="10" t="s">
        <v>2</v>
      </c>
      <c r="F1" s="25" t="s">
        <v>269</v>
      </c>
      <c r="G1" s="25" t="s">
        <v>16</v>
      </c>
      <c r="H1" s="25" t="s">
        <v>21</v>
      </c>
      <c r="I1" s="25" t="s">
        <v>86</v>
      </c>
      <c r="J1" s="25" t="s">
        <v>270</v>
      </c>
      <c r="L1" s="25" t="s">
        <v>272</v>
      </c>
      <c r="M1" s="25" t="s">
        <v>273</v>
      </c>
      <c r="P1" s="27" t="s">
        <v>274</v>
      </c>
      <c r="Q1" s="27" t="s">
        <v>275</v>
      </c>
      <c r="S1" s="27" t="s">
        <v>276</v>
      </c>
      <c r="T1" s="27" t="s">
        <v>28</v>
      </c>
      <c r="U1" s="27" t="s">
        <v>270</v>
      </c>
      <c r="V1" s="27" t="s">
        <v>277</v>
      </c>
      <c r="W1" s="29" t="s">
        <v>278</v>
      </c>
    </row>
    <row r="2" spans="1:23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  <c r="F2" cm="1">
        <f t="array" ref="F2:F7">_xlfn._xlws.SORT(_xlfn._xlws.FILTER(tblPrograms[ProgramID],tblPrograms[Status]="Active"))</f>
        <v>1001</v>
      </c>
      <c r="G2" t="str" cm="1">
        <f t="array" ref="G2:G7">_xlfn.XLOOKUP(_xlfn.ANCHORARRAY(F2),tblPrograms[ProgramID],tblPrograms[Program Name])</f>
        <v>Community Support</v>
      </c>
      <c r="H2" cm="1">
        <f t="array" ref="H2:H7">COUNTIFS(tblClientSummary[ProgramID],_xlfn.ANCHORARRAY(F2),tblClientSummary[ClientStatus],"Active")</f>
        <v>32</v>
      </c>
      <c r="I2" cm="1">
        <f t="array" ref="I2:I7">COUNTIFS(tblClientSummary[ProgramID],_xlfn.ANCHORARRAY(F2),tblClientSummary[ClientStatus],"Pending")</f>
        <v>2</v>
      </c>
      <c r="J2" cm="1">
        <f t="array" ref="J2:J7">_xlfn.ANCHORARRAY(H2)+_xlfn.ANCHORARRAY(I2)</f>
        <v>34</v>
      </c>
      <c r="L2" t="s">
        <v>227</v>
      </c>
      <c r="M2">
        <f>COUNTIF(tblClientSummary[OperationalPriority],L2)</f>
        <v>79</v>
      </c>
      <c r="P2" s="26" cm="1">
        <f t="array" ref="P2:P13">_xlfn.LET(
    _xlpm.d,IFERROR(--tblContacts[ContactDate],""),
    _xlpm.validDates,_xlfn._xlws.FILTER(_xlpm.d,_xlpm.d&lt;&gt;""),
    _xlpm.months,_xlfn._xlws.SORT(_xlfn.UNIQUE(DATE(YEAR(_xlpm.validDates),MONTH(_xlpm.validDates),1))),
    _xlfn.TAKE(_xlpm.months,-MIN(12,ROWS(_xlpm.months)))
)</f>
        <v>45870</v>
      </c>
      <c r="Q2" cm="1">
        <f t="array" ref="Q2:Q13">_xlfn.LET(
    _xlpm.d,IFERROR(--tblContacts[ContactDate],0),
    _xlfn.MAP(_xlfn.ANCHORARRAY(
        P2),
        _xlfn.LAMBDA(_xlpm.m,
            SUMPRODUCT(
                --(_xlpm.d&gt;=_xlpm.m),
                --(_xlpm.d&lt;EDATE(_xlpm.m,1))
            )
        )
    )
)</f>
        <v>79</v>
      </c>
      <c r="S2" cm="1">
        <f t="array" ref="S2:S15">_xlfn._xlws.SORT(_xlfn._xlws.FILTER(tblStaff[StaffID],(tblStaff[Employment Status]="Active")*(tblStaff[Capacity Target]&gt;0)))</f>
        <v>2002</v>
      </c>
      <c r="T2" t="str" cm="1">
        <f t="array" ref="T2:T15">_xlfn.XLOOKUP(_xlfn.ANCHORARRAY(S2),tblStaff[StaffID],tblStaff[Staff Name],"Not Found")</f>
        <v>Ethan Brooks</v>
      </c>
      <c r="U2" cm="1">
        <f t="array" ref="U2:U15">COUNTIFS(tblClientSummary[AssignedStaffID],_xlfn.ANCHORARRAY(S2),tblClientSummary[ClientStatus],"Active")
+COUNTIFS(tblClientSummary[AssignedStaffID],_xlfn.ANCHORARRAY(S2),tblClientSummary[ClientStatus],"Pending")</f>
        <v>15</v>
      </c>
      <c r="V2" cm="1">
        <f t="array" ref="V2:V15">_xlfn.XLOOKUP(_xlfn.ANCHORARRAY(S2),tblStaff[StaffID],tblStaff[Capacity Target],0)</f>
        <v>22</v>
      </c>
      <c r="W2" s="28" cm="1">
        <f t="array" ref="W2:W15">IFERROR(_xlfn.ANCHORARRAY(U2)/_xlfn.ANCHORARRAY(V2),0)</f>
        <v>0.68181818181818177</v>
      </c>
    </row>
    <row r="3" spans="1:23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  <c r="F3">
        <v>1002</v>
      </c>
      <c r="G3" t="str">
        <v>Housing Navigation</v>
      </c>
      <c r="H3">
        <v>30</v>
      </c>
      <c r="I3">
        <v>3</v>
      </c>
      <c r="J3">
        <v>33</v>
      </c>
      <c r="L3" t="s">
        <v>81</v>
      </c>
      <c r="M3">
        <f>COUNTIF(tblClientSummary[OperationalPriority],L3)</f>
        <v>24</v>
      </c>
      <c r="P3" s="26">
        <v>45901</v>
      </c>
      <c r="Q3">
        <v>106</v>
      </c>
      <c r="S3">
        <v>2003</v>
      </c>
      <c r="T3" t="str">
        <v>Sofia Ramirez</v>
      </c>
      <c r="U3">
        <v>19</v>
      </c>
      <c r="V3">
        <v>28</v>
      </c>
      <c r="W3" s="28">
        <v>0.6785714285714286</v>
      </c>
    </row>
    <row r="4" spans="1:23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  <c r="F4">
        <v>1003</v>
      </c>
      <c r="G4" t="str">
        <v>Employment Services</v>
      </c>
      <c r="H4">
        <v>33</v>
      </c>
      <c r="I4">
        <v>5</v>
      </c>
      <c r="J4">
        <v>38</v>
      </c>
      <c r="L4" t="s">
        <v>72</v>
      </c>
      <c r="M4">
        <f>COUNTIF(tblClientSummary[OperationalPriority],L4)</f>
        <v>33</v>
      </c>
      <c r="P4" s="26">
        <v>45931</v>
      </c>
      <c r="Q4">
        <v>99</v>
      </c>
      <c r="S4">
        <v>2005</v>
      </c>
      <c r="T4" t="str">
        <v>Aisha Patel</v>
      </c>
      <c r="U4">
        <v>20</v>
      </c>
      <c r="V4">
        <v>20</v>
      </c>
      <c r="W4" s="28">
        <v>1</v>
      </c>
    </row>
    <row r="5" spans="1:23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  <c r="F5">
        <v>1004</v>
      </c>
      <c r="G5" t="str">
        <v>Behavioral Health Coordination</v>
      </c>
      <c r="H5">
        <v>20</v>
      </c>
      <c r="I5">
        <v>7</v>
      </c>
      <c r="J5">
        <v>27</v>
      </c>
      <c r="L5" t="s">
        <v>67</v>
      </c>
      <c r="M5">
        <f>COUNTIF(tblClientSummary[OperationalPriority],L5)</f>
        <v>85</v>
      </c>
      <c r="P5" s="26">
        <v>45962</v>
      </c>
      <c r="Q5">
        <v>124</v>
      </c>
      <c r="S5">
        <v>2006</v>
      </c>
      <c r="T5" t="str">
        <v>Marcus Reed</v>
      </c>
      <c r="U5">
        <v>13</v>
      </c>
      <c r="V5">
        <v>25</v>
      </c>
      <c r="W5" s="28">
        <v>0.52</v>
      </c>
    </row>
    <row r="6" spans="1:23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  <c r="F6">
        <v>1005</v>
      </c>
      <c r="G6" t="str">
        <v>Family Stabilization</v>
      </c>
      <c r="H6">
        <v>37</v>
      </c>
      <c r="I6">
        <v>3</v>
      </c>
      <c r="J6">
        <v>40</v>
      </c>
      <c r="P6" s="26">
        <v>45992</v>
      </c>
      <c r="Q6">
        <v>137</v>
      </c>
      <c r="S6">
        <v>2007</v>
      </c>
      <c r="T6" t="str">
        <v>Lauren Bennett</v>
      </c>
      <c r="U6">
        <v>16</v>
      </c>
      <c r="V6">
        <v>15</v>
      </c>
      <c r="W6" s="28">
        <v>1.0666666666666667</v>
      </c>
    </row>
    <row r="7" spans="1:23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  <c r="F7">
        <v>1006</v>
      </c>
      <c r="G7" t="str">
        <v>Transition Services</v>
      </c>
      <c r="H7">
        <v>27</v>
      </c>
      <c r="I7">
        <v>4</v>
      </c>
      <c r="J7">
        <v>31</v>
      </c>
      <c r="P7" s="26">
        <v>46023</v>
      </c>
      <c r="Q7">
        <v>140</v>
      </c>
      <c r="S7">
        <v>2008</v>
      </c>
      <c r="T7" t="str">
        <v>Noah Williams</v>
      </c>
      <c r="U7">
        <v>10</v>
      </c>
      <c r="V7">
        <v>30</v>
      </c>
      <c r="W7" s="28">
        <v>0.33333333333333331</v>
      </c>
    </row>
    <row r="8" spans="1:23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  <c r="P8" s="26">
        <v>46054</v>
      </c>
      <c r="Q8">
        <v>148</v>
      </c>
      <c r="S8">
        <v>2009</v>
      </c>
      <c r="T8" t="str">
        <v>Chloe Nguyen</v>
      </c>
      <c r="U8">
        <v>12</v>
      </c>
      <c r="V8">
        <v>30</v>
      </c>
      <c r="W8" s="28">
        <v>0.4</v>
      </c>
    </row>
    <row r="9" spans="1:23" ht="60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  <c r="F9" s="4" t="s">
        <v>271</v>
      </c>
      <c r="P9" s="26">
        <v>46082</v>
      </c>
      <c r="Q9">
        <v>171</v>
      </c>
      <c r="S9">
        <v>2011</v>
      </c>
      <c r="T9" t="str">
        <v>Gabriel Martinez</v>
      </c>
      <c r="U9">
        <v>13</v>
      </c>
      <c r="V9">
        <v>18</v>
      </c>
      <c r="W9" s="28">
        <v>0.72222222222222221</v>
      </c>
    </row>
    <row r="10" spans="1:23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  <c r="P10" s="26">
        <v>46113</v>
      </c>
      <c r="Q10">
        <v>154</v>
      </c>
      <c r="S10">
        <v>2012</v>
      </c>
      <c r="T10" t="str">
        <v>Hannah Lee</v>
      </c>
      <c r="U10">
        <v>14</v>
      </c>
      <c r="V10">
        <v>22</v>
      </c>
      <c r="W10" s="28">
        <v>0.63636363636363635</v>
      </c>
    </row>
    <row r="11" spans="1:23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  <c r="P11" s="26">
        <v>46143</v>
      </c>
      <c r="Q11">
        <v>245</v>
      </c>
      <c r="S11">
        <v>2013</v>
      </c>
      <c r="T11" t="str">
        <v>Jordan Price</v>
      </c>
      <c r="U11">
        <v>14</v>
      </c>
      <c r="V11">
        <v>15</v>
      </c>
      <c r="W11" s="28">
        <v>0.93333333333333335</v>
      </c>
    </row>
    <row r="12" spans="1:23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  <c r="P12" s="26">
        <v>46174</v>
      </c>
      <c r="Q12">
        <v>300</v>
      </c>
      <c r="S12">
        <v>2014</v>
      </c>
      <c r="T12" t="str">
        <v>Priya Shah</v>
      </c>
      <c r="U12">
        <v>12</v>
      </c>
      <c r="V12">
        <v>26</v>
      </c>
      <c r="W12" s="28">
        <v>0.46153846153846156</v>
      </c>
    </row>
    <row r="13" spans="1:23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  <c r="P13" s="26">
        <v>46204</v>
      </c>
      <c r="Q13">
        <v>127</v>
      </c>
      <c r="S13">
        <v>2015</v>
      </c>
      <c r="T13" t="str">
        <v>Caleb Foster</v>
      </c>
      <c r="U13">
        <v>14</v>
      </c>
      <c r="V13">
        <v>26</v>
      </c>
      <c r="W13" s="28">
        <v>0.53846153846153844</v>
      </c>
    </row>
    <row r="14" spans="1:23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  <c r="S14">
        <v>2017</v>
      </c>
      <c r="T14" t="str">
        <v>Isaac Robinson</v>
      </c>
      <c r="U14">
        <v>9</v>
      </c>
      <c r="V14">
        <v>18</v>
      </c>
      <c r="W14" s="28">
        <v>0.5</v>
      </c>
    </row>
    <row r="15" spans="1:23" ht="75">
      <c r="A15" s="20" t="s">
        <v>262</v>
      </c>
      <c r="B15" s="22">
        <f>IFERROR(B12/B11,0)</f>
        <v>0.49367088607594939</v>
      </c>
      <c r="C15" s="4" t="s">
        <v>253</v>
      </c>
      <c r="D15" s="21" t="s">
        <v>263</v>
      </c>
      <c r="S15">
        <v>2018</v>
      </c>
      <c r="T15" t="str">
        <v>Elena Garcia</v>
      </c>
      <c r="U15">
        <v>22</v>
      </c>
      <c r="V15">
        <v>28</v>
      </c>
      <c r="W15" s="28">
        <v>0.7857142857142857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B2:O14"/>
  <sheetViews>
    <sheetView showGridLines="0" tabSelected="1" workbookViewId="0"/>
  </sheetViews>
  <sheetFormatPr defaultRowHeight="15"/>
  <cols>
    <col min="2" max="5" width="11.7109375" customWidth="1"/>
    <col min="6" max="6" width="3.7109375" customWidth="1"/>
    <col min="7" max="8" width="11.7109375" customWidth="1"/>
    <col min="9" max="9" width="13.28515625" customWidth="1"/>
    <col min="10" max="10" width="11.7109375" customWidth="1"/>
    <col min="11" max="11" width="3.7109375" customWidth="1"/>
    <col min="12" max="15" width="11.7109375" customWidth="1"/>
  </cols>
  <sheetData>
    <row r="2" spans="2:15">
      <c r="B2" s="54" t="s">
        <v>264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3" spans="2:15" ht="19.5" customHeight="1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</row>
    <row r="4" spans="2:15" ht="15.75" customHeight="1">
      <c r="B4" s="82" t="s">
        <v>268</v>
      </c>
      <c r="C4" s="83"/>
      <c r="D4" s="83"/>
      <c r="E4" s="83"/>
      <c r="F4" s="83"/>
      <c r="G4" s="83"/>
      <c r="H4" s="83"/>
      <c r="I4" s="24"/>
      <c r="J4" s="24"/>
      <c r="K4" s="24"/>
      <c r="L4" s="84" t="s">
        <v>265</v>
      </c>
      <c r="M4" s="84"/>
      <c r="N4" s="85">
        <f ca="1">TODAY()</f>
        <v>46214</v>
      </c>
      <c r="O4" s="85"/>
    </row>
    <row r="6" spans="2:15" ht="24" customHeight="1">
      <c r="B6" s="55" t="s">
        <v>236</v>
      </c>
      <c r="C6" s="56"/>
      <c r="D6" s="56"/>
      <c r="E6" s="57"/>
      <c r="F6" s="23"/>
      <c r="G6" s="64" t="s">
        <v>266</v>
      </c>
      <c r="H6" s="65"/>
      <c r="I6" s="65"/>
      <c r="J6" s="66"/>
      <c r="K6" s="23"/>
      <c r="L6" s="73" t="s">
        <v>267</v>
      </c>
      <c r="M6" s="74"/>
      <c r="N6" s="74"/>
      <c r="O6" s="75"/>
    </row>
    <row r="7" spans="2:15" ht="21.95" customHeight="1">
      <c r="B7" s="58">
        <f>Metrics!B3</f>
        <v>179</v>
      </c>
      <c r="C7" s="59"/>
      <c r="D7" s="59"/>
      <c r="E7" s="60"/>
      <c r="F7" s="23"/>
      <c r="G7" s="67">
        <f>Metrics!B6</f>
        <v>79</v>
      </c>
      <c r="H7" s="68"/>
      <c r="I7" s="68"/>
      <c r="J7" s="69"/>
      <c r="K7" s="23"/>
      <c r="L7" s="76">
        <f>Metrics!B7</f>
        <v>24</v>
      </c>
      <c r="M7" s="77"/>
      <c r="N7" s="77"/>
      <c r="O7" s="78"/>
    </row>
    <row r="8" spans="2:15" ht="21.95" customHeight="1">
      <c r="B8" s="58"/>
      <c r="C8" s="59"/>
      <c r="D8" s="59"/>
      <c r="E8" s="60"/>
      <c r="F8" s="23"/>
      <c r="G8" s="67"/>
      <c r="H8" s="68"/>
      <c r="I8" s="68"/>
      <c r="J8" s="69"/>
      <c r="K8" s="23"/>
      <c r="L8" s="76"/>
      <c r="M8" s="77"/>
      <c r="N8" s="77"/>
      <c r="O8" s="78"/>
    </row>
    <row r="9" spans="2:15" ht="21.95" customHeight="1">
      <c r="B9" s="61"/>
      <c r="C9" s="62"/>
      <c r="D9" s="62"/>
      <c r="E9" s="63"/>
      <c r="F9" s="23"/>
      <c r="G9" s="70"/>
      <c r="H9" s="71"/>
      <c r="I9" s="71"/>
      <c r="J9" s="72"/>
      <c r="K9" s="23"/>
      <c r="L9" s="79"/>
      <c r="M9" s="80"/>
      <c r="N9" s="80"/>
      <c r="O9" s="81"/>
    </row>
    <row r="10" spans="2:15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2:15" ht="24" customHeight="1">
      <c r="B11" s="30" t="s">
        <v>246</v>
      </c>
      <c r="C11" s="31"/>
      <c r="D11" s="31"/>
      <c r="E11" s="32"/>
      <c r="F11" s="23"/>
      <c r="G11" s="39" t="s">
        <v>248</v>
      </c>
      <c r="H11" s="40"/>
      <c r="I11" s="40"/>
      <c r="J11" s="41"/>
      <c r="K11" s="23"/>
      <c r="L11" s="30" t="s">
        <v>250</v>
      </c>
      <c r="M11" s="31"/>
      <c r="N11" s="31"/>
      <c r="O11" s="32"/>
    </row>
    <row r="12" spans="2:15" ht="21.95" customHeight="1">
      <c r="B12" s="33">
        <f>Metrics!B8</f>
        <v>136</v>
      </c>
      <c r="C12" s="34"/>
      <c r="D12" s="34"/>
      <c r="E12" s="35"/>
      <c r="F12" s="23"/>
      <c r="G12" s="42">
        <f>Metrics!B9</f>
        <v>79</v>
      </c>
      <c r="H12" s="43"/>
      <c r="I12" s="43"/>
      <c r="J12" s="44"/>
      <c r="K12" s="23"/>
      <c r="L12" s="48">
        <f>Metrics!B10</f>
        <v>96.49751243781094</v>
      </c>
      <c r="M12" s="49"/>
      <c r="N12" s="49"/>
      <c r="O12" s="50"/>
    </row>
    <row r="13" spans="2:15" ht="21.95" customHeight="1">
      <c r="B13" s="33"/>
      <c r="C13" s="34"/>
      <c r="D13" s="34"/>
      <c r="E13" s="35"/>
      <c r="F13" s="23"/>
      <c r="G13" s="42"/>
      <c r="H13" s="43"/>
      <c r="I13" s="43"/>
      <c r="J13" s="44"/>
      <c r="K13" s="23"/>
      <c r="L13" s="48"/>
      <c r="M13" s="49"/>
      <c r="N13" s="49"/>
      <c r="O13" s="50"/>
    </row>
    <row r="14" spans="2:15" ht="21.95" customHeight="1">
      <c r="B14" s="36"/>
      <c r="C14" s="37"/>
      <c r="D14" s="37"/>
      <c r="E14" s="38"/>
      <c r="F14" s="23"/>
      <c r="G14" s="45"/>
      <c r="H14" s="46"/>
      <c r="I14" s="46"/>
      <c r="J14" s="47"/>
      <c r="K14" s="23"/>
      <c r="L14" s="51"/>
      <c r="M14" s="52"/>
      <c r="N14" s="52"/>
      <c r="O14" s="53"/>
    </row>
  </sheetData>
  <mergeCells count="16">
    <mergeCell ref="B2:O3"/>
    <mergeCell ref="B6:E6"/>
    <mergeCell ref="B7:E9"/>
    <mergeCell ref="G6:J6"/>
    <mergeCell ref="G7:J9"/>
    <mergeCell ref="L6:O6"/>
    <mergeCell ref="L7:O9"/>
    <mergeCell ref="B4:H4"/>
    <mergeCell ref="L4:M4"/>
    <mergeCell ref="N4:O4"/>
    <mergeCell ref="B11:E11"/>
    <mergeCell ref="B12:E14"/>
    <mergeCell ref="G11:J11"/>
    <mergeCell ref="G12:J14"/>
    <mergeCell ref="L11:O11"/>
    <mergeCell ref="L12:O1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/>
  </sheetViews>
  <sheetFormatPr defaultRowHeight="15"/>
  <cols>
    <col min="1" max="1" width="12.85546875" customWidth="1"/>
    <col min="2" max="2" width="14.85546875" customWidth="1"/>
    <col min="3" max="3" width="14.7109375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conditionalFormatting sqref="G1:G1048576">
    <cfRule type="cellIs" dxfId="9" priority="4" operator="equal">
      <formula>"Critical"</formula>
    </cfRule>
    <cfRule type="cellIs" dxfId="8" priority="3" operator="equal">
      <formula>"High"</formula>
    </cfRule>
  </conditionalFormatting>
  <conditionalFormatting sqref="F2:F100">
    <cfRule type="cellIs" dxfId="7" priority="2" operator="greaterThanOrEqual">
      <formula>90</formula>
    </cfRule>
    <cfRule type="cellIs" dxfId="6" priority="1" operator="between">
      <formula>60</formula>
      <formula>89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:L80"/>
  <sheetViews>
    <sheetView topLeftCell="E1" workbookViewId="0">
      <selection activeCell="L9" sqref="L9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2.5703125" bestFit="1" customWidth="1"/>
    <col min="5" max="5" width="17.42578125" bestFit="1" customWidth="1"/>
    <col min="6" max="6" width="14" bestFit="1" customWidth="1"/>
    <col min="7" max="7" width="24.85546875" bestFit="1" customWidth="1"/>
    <col min="8" max="8" width="19" bestFit="1" customWidth="1"/>
    <col min="9" max="9" width="15.85546875" bestFit="1" customWidth="1"/>
    <col min="10" max="10" width="20.28515625" bestFit="1" customWidth="1"/>
    <col min="11" max="11" width="24.140625" bestFit="1" customWidth="1"/>
    <col min="12" max="12" width="20.7109375" bestFit="1" customWidth="1"/>
  </cols>
  <sheetData>
    <row r="1" spans="1:12">
      <c r="A1" t="s">
        <v>55</v>
      </c>
      <c r="B1" t="s">
        <v>56</v>
      </c>
      <c r="C1" t="s">
        <v>57</v>
      </c>
      <c r="D1" t="s">
        <v>15</v>
      </c>
      <c r="E1" t="s">
        <v>60</v>
      </c>
      <c r="F1" t="s">
        <v>61</v>
      </c>
      <c r="G1" t="s">
        <v>221</v>
      </c>
      <c r="H1" t="s">
        <v>223</v>
      </c>
      <c r="I1" t="s">
        <v>62</v>
      </c>
      <c r="J1" t="s">
        <v>225</v>
      </c>
      <c r="K1" t="s">
        <v>226</v>
      </c>
      <c r="L1" t="s">
        <v>224</v>
      </c>
    </row>
    <row r="2" spans="1:12">
      <c r="A2">
        <v>3086</v>
      </c>
      <c r="B2" s="86" t="s">
        <v>155</v>
      </c>
      <c r="C2" s="86" t="s">
        <v>169</v>
      </c>
      <c r="D2">
        <v>1002</v>
      </c>
      <c r="E2">
        <v>2006</v>
      </c>
      <c r="F2" s="86" t="s">
        <v>21</v>
      </c>
      <c r="G2" s="7">
        <v>45579</v>
      </c>
      <c r="H2">
        <v>635</v>
      </c>
      <c r="I2" s="86" t="s">
        <v>72</v>
      </c>
      <c r="J2" s="86" t="s">
        <v>228</v>
      </c>
      <c r="K2" t="s">
        <v>228</v>
      </c>
      <c r="L2" t="s">
        <v>227</v>
      </c>
    </row>
    <row r="3" spans="1:12">
      <c r="A3">
        <v>3149</v>
      </c>
      <c r="B3" s="86" t="s">
        <v>87</v>
      </c>
      <c r="C3" s="86" t="s">
        <v>111</v>
      </c>
      <c r="D3">
        <v>1003</v>
      </c>
      <c r="E3">
        <v>2007</v>
      </c>
      <c r="F3" s="86" t="s">
        <v>21</v>
      </c>
      <c r="G3" s="7">
        <v>45602</v>
      </c>
      <c r="H3">
        <v>612</v>
      </c>
      <c r="I3" s="86" t="s">
        <v>81</v>
      </c>
      <c r="J3" s="86" t="s">
        <v>228</v>
      </c>
      <c r="K3" t="s">
        <v>228</v>
      </c>
      <c r="L3" t="s">
        <v>227</v>
      </c>
    </row>
    <row r="4" spans="1:12">
      <c r="A4">
        <v>3129</v>
      </c>
      <c r="B4" s="86" t="s">
        <v>163</v>
      </c>
      <c r="C4" s="86" t="s">
        <v>139</v>
      </c>
      <c r="D4">
        <v>1001</v>
      </c>
      <c r="E4">
        <v>2003</v>
      </c>
      <c r="F4" s="86" t="s">
        <v>21</v>
      </c>
      <c r="G4" s="7">
        <v>45615</v>
      </c>
      <c r="H4">
        <v>599</v>
      </c>
      <c r="I4" s="86" t="s">
        <v>67</v>
      </c>
      <c r="J4" s="86" t="s">
        <v>228</v>
      </c>
      <c r="K4" t="s">
        <v>228</v>
      </c>
      <c r="L4" t="s">
        <v>227</v>
      </c>
    </row>
    <row r="5" spans="1:12">
      <c r="A5">
        <v>3223</v>
      </c>
      <c r="B5" s="86" t="s">
        <v>107</v>
      </c>
      <c r="C5" s="86" t="s">
        <v>122</v>
      </c>
      <c r="D5">
        <v>1006</v>
      </c>
      <c r="E5">
        <v>2018</v>
      </c>
      <c r="F5" s="86" t="s">
        <v>21</v>
      </c>
      <c r="G5" s="7">
        <v>45675</v>
      </c>
      <c r="H5">
        <v>539</v>
      </c>
      <c r="I5" s="86" t="s">
        <v>67</v>
      </c>
      <c r="J5" s="86" t="s">
        <v>228</v>
      </c>
      <c r="K5" t="s">
        <v>228</v>
      </c>
      <c r="L5" t="s">
        <v>227</v>
      </c>
    </row>
    <row r="6" spans="1:12">
      <c r="A6">
        <v>3020</v>
      </c>
      <c r="B6" s="86" t="s">
        <v>107</v>
      </c>
      <c r="C6" s="86" t="s">
        <v>108</v>
      </c>
      <c r="D6">
        <v>1003</v>
      </c>
      <c r="E6">
        <v>2007</v>
      </c>
      <c r="F6" s="86" t="s">
        <v>21</v>
      </c>
      <c r="G6" s="7">
        <v>45702</v>
      </c>
      <c r="H6">
        <v>512</v>
      </c>
      <c r="I6" s="86" t="s">
        <v>81</v>
      </c>
      <c r="J6" s="86" t="s">
        <v>228</v>
      </c>
      <c r="K6" t="s">
        <v>228</v>
      </c>
      <c r="L6" t="s">
        <v>227</v>
      </c>
    </row>
    <row r="7" spans="1:12">
      <c r="A7">
        <v>3183</v>
      </c>
      <c r="B7" s="86" t="s">
        <v>82</v>
      </c>
      <c r="C7" s="86" t="s">
        <v>138</v>
      </c>
      <c r="D7">
        <v>1002</v>
      </c>
      <c r="E7">
        <v>2006</v>
      </c>
      <c r="F7" s="86" t="s">
        <v>21</v>
      </c>
      <c r="G7" s="7">
        <v>45729</v>
      </c>
      <c r="H7">
        <v>485</v>
      </c>
      <c r="I7" s="86" t="s">
        <v>72</v>
      </c>
      <c r="J7" s="86" t="s">
        <v>228</v>
      </c>
      <c r="K7" t="s">
        <v>228</v>
      </c>
      <c r="L7" t="s">
        <v>227</v>
      </c>
    </row>
    <row r="8" spans="1:12">
      <c r="A8">
        <v>3053</v>
      </c>
      <c r="B8" s="86" t="s">
        <v>147</v>
      </c>
      <c r="C8" s="86" t="s">
        <v>120</v>
      </c>
      <c r="D8">
        <v>1003</v>
      </c>
      <c r="E8">
        <v>2007</v>
      </c>
      <c r="F8" s="86" t="s">
        <v>21</v>
      </c>
      <c r="G8" s="7">
        <v>45763</v>
      </c>
      <c r="H8">
        <v>451</v>
      </c>
      <c r="I8" s="86" t="s">
        <v>81</v>
      </c>
      <c r="J8" s="86" t="s">
        <v>228</v>
      </c>
      <c r="K8" t="s">
        <v>228</v>
      </c>
      <c r="L8" t="s">
        <v>227</v>
      </c>
    </row>
    <row r="9" spans="1:12">
      <c r="A9">
        <v>3002</v>
      </c>
      <c r="B9" s="86" t="s">
        <v>69</v>
      </c>
      <c r="C9" s="86" t="s">
        <v>70</v>
      </c>
      <c r="D9">
        <v>1006</v>
      </c>
      <c r="E9">
        <v>2017</v>
      </c>
      <c r="F9" s="86" t="s">
        <v>21</v>
      </c>
      <c r="G9" s="7">
        <v>45792</v>
      </c>
      <c r="H9">
        <v>422</v>
      </c>
      <c r="I9" s="86" t="s">
        <v>67</v>
      </c>
      <c r="J9" s="86" t="s">
        <v>228</v>
      </c>
      <c r="K9" t="s">
        <v>228</v>
      </c>
      <c r="L9" t="s">
        <v>227</v>
      </c>
    </row>
    <row r="10" spans="1:12">
      <c r="A10">
        <v>3160</v>
      </c>
      <c r="B10" s="86" t="s">
        <v>183</v>
      </c>
      <c r="C10" s="86" t="s">
        <v>100</v>
      </c>
      <c r="D10">
        <v>1005</v>
      </c>
      <c r="E10">
        <v>2014</v>
      </c>
      <c r="F10" s="86" t="s">
        <v>21</v>
      </c>
      <c r="G10" s="7">
        <v>45792</v>
      </c>
      <c r="H10">
        <v>422</v>
      </c>
      <c r="I10" s="86" t="s">
        <v>72</v>
      </c>
      <c r="J10" s="86" t="s">
        <v>228</v>
      </c>
      <c r="K10" t="s">
        <v>228</v>
      </c>
      <c r="L10" t="s">
        <v>227</v>
      </c>
    </row>
    <row r="11" spans="1:12">
      <c r="A11">
        <v>3193</v>
      </c>
      <c r="B11" s="86" t="s">
        <v>156</v>
      </c>
      <c r="C11" s="86" t="s">
        <v>190</v>
      </c>
      <c r="D11">
        <v>1003</v>
      </c>
      <c r="E11">
        <v>2008</v>
      </c>
      <c r="F11" s="86" t="s">
        <v>86</v>
      </c>
      <c r="G11" s="7">
        <v>45839</v>
      </c>
      <c r="H11">
        <v>375</v>
      </c>
      <c r="I11" s="86" t="s">
        <v>72</v>
      </c>
      <c r="J11" s="86" t="s">
        <v>228</v>
      </c>
      <c r="K11" t="s">
        <v>228</v>
      </c>
      <c r="L11" t="s">
        <v>227</v>
      </c>
    </row>
    <row r="12" spans="1:12">
      <c r="A12">
        <v>3158</v>
      </c>
      <c r="B12" s="86" t="s">
        <v>185</v>
      </c>
      <c r="C12" s="86" t="s">
        <v>190</v>
      </c>
      <c r="D12">
        <v>1004</v>
      </c>
      <c r="E12">
        <v>2012</v>
      </c>
      <c r="F12" s="86" t="s">
        <v>21</v>
      </c>
      <c r="G12" s="7">
        <v>45852</v>
      </c>
      <c r="H12">
        <v>362</v>
      </c>
      <c r="I12" s="86" t="s">
        <v>67</v>
      </c>
      <c r="J12" s="86" t="s">
        <v>228</v>
      </c>
      <c r="K12" t="s">
        <v>228</v>
      </c>
      <c r="L12" t="s">
        <v>227</v>
      </c>
    </row>
    <row r="13" spans="1:12">
      <c r="A13">
        <v>3244</v>
      </c>
      <c r="B13" s="86" t="s">
        <v>163</v>
      </c>
      <c r="C13" s="86" t="s">
        <v>122</v>
      </c>
      <c r="D13">
        <v>1004</v>
      </c>
      <c r="E13">
        <v>2012</v>
      </c>
      <c r="F13" s="86" t="s">
        <v>21</v>
      </c>
      <c r="G13" s="7">
        <v>45857</v>
      </c>
      <c r="H13">
        <v>357</v>
      </c>
      <c r="I13" s="86" t="s">
        <v>67</v>
      </c>
      <c r="J13" s="86" t="s">
        <v>228</v>
      </c>
      <c r="K13" t="s">
        <v>228</v>
      </c>
      <c r="L13" t="s">
        <v>227</v>
      </c>
    </row>
    <row r="14" spans="1:12">
      <c r="A14">
        <v>3045</v>
      </c>
      <c r="B14" s="86" t="s">
        <v>84</v>
      </c>
      <c r="C14" s="86" t="s">
        <v>78</v>
      </c>
      <c r="D14">
        <v>1005</v>
      </c>
      <c r="E14">
        <v>2015</v>
      </c>
      <c r="F14" s="86" t="s">
        <v>21</v>
      </c>
      <c r="G14" s="7">
        <v>45866</v>
      </c>
      <c r="H14">
        <v>348</v>
      </c>
      <c r="I14" s="86" t="s">
        <v>67</v>
      </c>
      <c r="J14" s="86" t="s">
        <v>228</v>
      </c>
      <c r="K14" t="s">
        <v>228</v>
      </c>
      <c r="L14" t="s">
        <v>227</v>
      </c>
    </row>
    <row r="15" spans="1:12">
      <c r="A15">
        <v>3199</v>
      </c>
      <c r="B15" s="86" t="s">
        <v>107</v>
      </c>
      <c r="C15" s="86" t="s">
        <v>71</v>
      </c>
      <c r="D15">
        <v>1005</v>
      </c>
      <c r="E15">
        <v>2013</v>
      </c>
      <c r="F15" s="86" t="s">
        <v>21</v>
      </c>
      <c r="G15" s="7">
        <v>45877</v>
      </c>
      <c r="H15">
        <v>337</v>
      </c>
      <c r="I15" s="86" t="s">
        <v>67</v>
      </c>
      <c r="J15" s="86" t="s">
        <v>228</v>
      </c>
      <c r="K15" t="s">
        <v>228</v>
      </c>
      <c r="L15" t="s">
        <v>227</v>
      </c>
    </row>
    <row r="16" spans="1:12">
      <c r="A16">
        <v>3095</v>
      </c>
      <c r="B16" s="86" t="s">
        <v>117</v>
      </c>
      <c r="C16" s="86" t="s">
        <v>114</v>
      </c>
      <c r="D16">
        <v>1002</v>
      </c>
      <c r="E16">
        <v>2006</v>
      </c>
      <c r="F16" s="86" t="s">
        <v>21</v>
      </c>
      <c r="G16" s="7">
        <v>45899</v>
      </c>
      <c r="H16">
        <v>315</v>
      </c>
      <c r="I16" s="86" t="s">
        <v>72</v>
      </c>
      <c r="J16" s="86" t="s">
        <v>228</v>
      </c>
      <c r="K16" t="s">
        <v>228</v>
      </c>
      <c r="L16" t="s">
        <v>227</v>
      </c>
    </row>
    <row r="17" spans="1:12">
      <c r="A17">
        <v>3037</v>
      </c>
      <c r="B17" s="86" t="s">
        <v>92</v>
      </c>
      <c r="C17" s="86" t="s">
        <v>118</v>
      </c>
      <c r="D17">
        <v>1005</v>
      </c>
      <c r="E17">
        <v>2015</v>
      </c>
      <c r="F17" s="86" t="s">
        <v>21</v>
      </c>
      <c r="G17" s="7">
        <v>45903</v>
      </c>
      <c r="H17">
        <v>311</v>
      </c>
      <c r="I17" s="86" t="s">
        <v>67</v>
      </c>
      <c r="J17" s="86" t="s">
        <v>228</v>
      </c>
      <c r="K17" t="s">
        <v>228</v>
      </c>
      <c r="L17" t="s">
        <v>227</v>
      </c>
    </row>
    <row r="18" spans="1:12">
      <c r="A18">
        <v>3175</v>
      </c>
      <c r="B18" s="86" t="s">
        <v>155</v>
      </c>
      <c r="C18" s="86" t="s">
        <v>141</v>
      </c>
      <c r="D18">
        <v>1002</v>
      </c>
      <c r="E18">
        <v>2005</v>
      </c>
      <c r="F18" s="86" t="s">
        <v>86</v>
      </c>
      <c r="G18" s="7">
        <v>45907</v>
      </c>
      <c r="H18">
        <v>307</v>
      </c>
      <c r="I18" s="86" t="s">
        <v>67</v>
      </c>
      <c r="J18" s="86" t="s">
        <v>228</v>
      </c>
      <c r="K18" t="s">
        <v>228</v>
      </c>
      <c r="L18" t="s">
        <v>227</v>
      </c>
    </row>
    <row r="19" spans="1:12">
      <c r="A19">
        <v>3132</v>
      </c>
      <c r="B19" s="86" t="s">
        <v>185</v>
      </c>
      <c r="C19" s="86" t="s">
        <v>136</v>
      </c>
      <c r="D19">
        <v>1002</v>
      </c>
      <c r="E19">
        <v>2005</v>
      </c>
      <c r="F19" s="86" t="s">
        <v>21</v>
      </c>
      <c r="G19" s="7">
        <v>45918</v>
      </c>
      <c r="H19">
        <v>296</v>
      </c>
      <c r="I19" s="86" t="s">
        <v>67</v>
      </c>
      <c r="J19" s="86" t="s">
        <v>228</v>
      </c>
      <c r="K19" t="s">
        <v>228</v>
      </c>
      <c r="L19" t="s">
        <v>227</v>
      </c>
    </row>
    <row r="20" spans="1:12">
      <c r="A20">
        <v>3010</v>
      </c>
      <c r="B20" s="86" t="s">
        <v>87</v>
      </c>
      <c r="C20" s="86" t="s">
        <v>88</v>
      </c>
      <c r="D20">
        <v>1002</v>
      </c>
      <c r="E20">
        <v>2005</v>
      </c>
      <c r="F20" s="86" t="s">
        <v>21</v>
      </c>
      <c r="G20" s="7">
        <v>45922</v>
      </c>
      <c r="H20">
        <v>292</v>
      </c>
      <c r="I20" s="86" t="s">
        <v>67</v>
      </c>
      <c r="J20" s="86" t="s">
        <v>228</v>
      </c>
      <c r="K20" t="s">
        <v>228</v>
      </c>
      <c r="L20" t="s">
        <v>227</v>
      </c>
    </row>
    <row r="21" spans="1:12">
      <c r="A21">
        <v>3169</v>
      </c>
      <c r="B21" s="86" t="s">
        <v>191</v>
      </c>
      <c r="C21" s="86" t="s">
        <v>141</v>
      </c>
      <c r="D21">
        <v>1002</v>
      </c>
      <c r="E21">
        <v>2005</v>
      </c>
      <c r="F21" s="86" t="s">
        <v>21</v>
      </c>
      <c r="G21" s="7">
        <v>45932</v>
      </c>
      <c r="H21">
        <v>282</v>
      </c>
      <c r="I21" s="86" t="s">
        <v>67</v>
      </c>
      <c r="J21" s="86" t="s">
        <v>228</v>
      </c>
      <c r="K21" t="s">
        <v>228</v>
      </c>
      <c r="L21" t="s">
        <v>227</v>
      </c>
    </row>
    <row r="22" spans="1:12">
      <c r="A22">
        <v>3189</v>
      </c>
      <c r="B22" s="86" t="s">
        <v>77</v>
      </c>
      <c r="C22" s="86" t="s">
        <v>105</v>
      </c>
      <c r="D22">
        <v>1005</v>
      </c>
      <c r="E22">
        <v>2014</v>
      </c>
      <c r="F22" s="86" t="s">
        <v>21</v>
      </c>
      <c r="G22" s="7">
        <v>45936</v>
      </c>
      <c r="H22">
        <v>278</v>
      </c>
      <c r="I22" s="86" t="s">
        <v>81</v>
      </c>
      <c r="J22" s="86" t="s">
        <v>228</v>
      </c>
      <c r="K22" t="s">
        <v>228</v>
      </c>
      <c r="L22" t="s">
        <v>227</v>
      </c>
    </row>
    <row r="23" spans="1:12">
      <c r="A23">
        <v>3174</v>
      </c>
      <c r="B23" s="86" t="s">
        <v>188</v>
      </c>
      <c r="C23" s="86" t="s">
        <v>150</v>
      </c>
      <c r="D23">
        <v>1003</v>
      </c>
      <c r="E23">
        <v>2007</v>
      </c>
      <c r="F23" s="86" t="s">
        <v>21</v>
      </c>
      <c r="G23" s="7">
        <v>45989</v>
      </c>
      <c r="H23">
        <v>225</v>
      </c>
      <c r="I23" s="86" t="s">
        <v>81</v>
      </c>
      <c r="J23" s="86" t="s">
        <v>228</v>
      </c>
      <c r="K23" t="s">
        <v>228</v>
      </c>
      <c r="L23" t="s">
        <v>227</v>
      </c>
    </row>
    <row r="24" spans="1:12">
      <c r="A24">
        <v>3076</v>
      </c>
      <c r="B24" s="86" t="s">
        <v>159</v>
      </c>
      <c r="C24" s="86" t="s">
        <v>165</v>
      </c>
      <c r="D24">
        <v>1004</v>
      </c>
      <c r="E24">
        <v>2012</v>
      </c>
      <c r="F24" s="86" t="s">
        <v>86</v>
      </c>
      <c r="G24" s="7">
        <v>45991</v>
      </c>
      <c r="H24">
        <v>223</v>
      </c>
      <c r="I24" s="86" t="s">
        <v>81</v>
      </c>
      <c r="J24" s="86" t="s">
        <v>228</v>
      </c>
      <c r="K24" t="s">
        <v>228</v>
      </c>
      <c r="L24" t="s">
        <v>227</v>
      </c>
    </row>
    <row r="25" spans="1:12">
      <c r="A25">
        <v>3171</v>
      </c>
      <c r="B25" s="86" t="s">
        <v>103</v>
      </c>
      <c r="C25" s="86" t="s">
        <v>133</v>
      </c>
      <c r="D25">
        <v>1003</v>
      </c>
      <c r="E25">
        <v>2009</v>
      </c>
      <c r="F25" s="86" t="s">
        <v>21</v>
      </c>
      <c r="G25" s="7">
        <v>45997</v>
      </c>
      <c r="H25">
        <v>217</v>
      </c>
      <c r="I25" s="86" t="s">
        <v>81</v>
      </c>
      <c r="J25" s="86" t="s">
        <v>228</v>
      </c>
      <c r="K25" t="s">
        <v>228</v>
      </c>
      <c r="L25" t="s">
        <v>227</v>
      </c>
    </row>
    <row r="26" spans="1:12">
      <c r="A26">
        <v>3197</v>
      </c>
      <c r="B26" s="86" t="s">
        <v>119</v>
      </c>
      <c r="C26" s="86" t="s">
        <v>181</v>
      </c>
      <c r="D26">
        <v>1002</v>
      </c>
      <c r="E26">
        <v>2005</v>
      </c>
      <c r="F26" s="86" t="s">
        <v>21</v>
      </c>
      <c r="G26" s="7">
        <v>45999</v>
      </c>
      <c r="H26">
        <v>215</v>
      </c>
      <c r="I26" s="86" t="s">
        <v>72</v>
      </c>
      <c r="J26" s="86" t="s">
        <v>228</v>
      </c>
      <c r="K26" t="s">
        <v>228</v>
      </c>
      <c r="L26" t="s">
        <v>227</v>
      </c>
    </row>
    <row r="27" spans="1:12">
      <c r="A27">
        <v>3038</v>
      </c>
      <c r="B27" s="86" t="s">
        <v>132</v>
      </c>
      <c r="C27" s="86" t="s">
        <v>133</v>
      </c>
      <c r="D27">
        <v>1002</v>
      </c>
      <c r="E27">
        <v>2006</v>
      </c>
      <c r="F27" s="86" t="s">
        <v>21</v>
      </c>
      <c r="G27" s="7">
        <v>45999</v>
      </c>
      <c r="H27">
        <v>215</v>
      </c>
      <c r="I27" s="86" t="s">
        <v>81</v>
      </c>
      <c r="J27" s="86" t="s">
        <v>228</v>
      </c>
      <c r="K27" t="s">
        <v>228</v>
      </c>
      <c r="L27" t="s">
        <v>227</v>
      </c>
    </row>
    <row r="28" spans="1:12">
      <c r="A28">
        <v>3013</v>
      </c>
      <c r="B28" s="86" t="s">
        <v>94</v>
      </c>
      <c r="C28" s="86" t="s">
        <v>95</v>
      </c>
      <c r="D28">
        <v>1002</v>
      </c>
      <c r="E28">
        <v>2006</v>
      </c>
      <c r="F28" s="86" t="s">
        <v>86</v>
      </c>
      <c r="G28" s="7">
        <v>46011</v>
      </c>
      <c r="H28">
        <v>203</v>
      </c>
      <c r="I28" s="86" t="s">
        <v>67</v>
      </c>
      <c r="J28" s="86" t="s">
        <v>228</v>
      </c>
      <c r="K28" t="s">
        <v>228</v>
      </c>
      <c r="L28" t="s">
        <v>227</v>
      </c>
    </row>
    <row r="29" spans="1:12">
      <c r="A29">
        <v>3012</v>
      </c>
      <c r="B29" s="86" t="s">
        <v>92</v>
      </c>
      <c r="C29" s="86" t="s">
        <v>93</v>
      </c>
      <c r="D29">
        <v>1006</v>
      </c>
      <c r="E29">
        <v>2018</v>
      </c>
      <c r="F29" s="86" t="s">
        <v>21</v>
      </c>
      <c r="G29" s="7">
        <v>46015</v>
      </c>
      <c r="H29">
        <v>199</v>
      </c>
      <c r="I29" s="86" t="s">
        <v>72</v>
      </c>
      <c r="J29" s="86" t="s">
        <v>228</v>
      </c>
      <c r="K29" t="s">
        <v>228</v>
      </c>
      <c r="L29" t="s">
        <v>227</v>
      </c>
    </row>
    <row r="30" spans="1:12">
      <c r="A30">
        <v>3134</v>
      </c>
      <c r="B30" s="86" t="s">
        <v>157</v>
      </c>
      <c r="C30" s="86" t="s">
        <v>169</v>
      </c>
      <c r="D30">
        <v>1006</v>
      </c>
      <c r="E30">
        <v>2018</v>
      </c>
      <c r="F30" s="86" t="s">
        <v>86</v>
      </c>
      <c r="G30" s="7">
        <v>46019</v>
      </c>
      <c r="H30">
        <v>195</v>
      </c>
      <c r="I30" s="86" t="s">
        <v>72</v>
      </c>
      <c r="J30" s="86" t="s">
        <v>228</v>
      </c>
      <c r="K30" t="s">
        <v>228</v>
      </c>
      <c r="L30" t="s">
        <v>227</v>
      </c>
    </row>
    <row r="31" spans="1:12">
      <c r="A31">
        <v>3051</v>
      </c>
      <c r="B31" s="86" t="s">
        <v>141</v>
      </c>
      <c r="C31" s="86" t="s">
        <v>145</v>
      </c>
      <c r="D31">
        <v>1002</v>
      </c>
      <c r="E31">
        <v>2005</v>
      </c>
      <c r="F31" s="86" t="s">
        <v>21</v>
      </c>
      <c r="G31" s="7">
        <v>46027</v>
      </c>
      <c r="H31">
        <v>187</v>
      </c>
      <c r="I31" s="86" t="s">
        <v>67</v>
      </c>
      <c r="J31" s="86" t="s">
        <v>228</v>
      </c>
      <c r="K31" t="s">
        <v>228</v>
      </c>
      <c r="L31" t="s">
        <v>227</v>
      </c>
    </row>
    <row r="32" spans="1:12">
      <c r="A32">
        <v>3155</v>
      </c>
      <c r="B32" s="86" t="s">
        <v>119</v>
      </c>
      <c r="C32" s="86" t="s">
        <v>141</v>
      </c>
      <c r="D32">
        <v>1003</v>
      </c>
      <c r="E32">
        <v>2007</v>
      </c>
      <c r="F32" s="86" t="s">
        <v>21</v>
      </c>
      <c r="G32" s="7">
        <v>46029</v>
      </c>
      <c r="H32">
        <v>185</v>
      </c>
      <c r="I32" s="86" t="s">
        <v>67</v>
      </c>
      <c r="J32" s="86" t="s">
        <v>228</v>
      </c>
      <c r="K32" t="s">
        <v>228</v>
      </c>
      <c r="L32" t="s">
        <v>227</v>
      </c>
    </row>
    <row r="33" spans="1:12">
      <c r="A33">
        <v>3006</v>
      </c>
      <c r="B33" s="86" t="s">
        <v>79</v>
      </c>
      <c r="C33" s="86" t="s">
        <v>80</v>
      </c>
      <c r="D33">
        <v>1006</v>
      </c>
      <c r="E33">
        <v>2018</v>
      </c>
      <c r="F33" s="86" t="s">
        <v>21</v>
      </c>
      <c r="G33" s="7">
        <v>46030</v>
      </c>
      <c r="H33">
        <v>184</v>
      </c>
      <c r="I33" s="86" t="s">
        <v>81</v>
      </c>
      <c r="J33" s="86" t="s">
        <v>228</v>
      </c>
      <c r="K33" t="s">
        <v>228</v>
      </c>
      <c r="L33" t="s">
        <v>227</v>
      </c>
    </row>
    <row r="34" spans="1:12">
      <c r="A34">
        <v>3137</v>
      </c>
      <c r="B34" s="86" t="s">
        <v>96</v>
      </c>
      <c r="C34" s="86" t="s">
        <v>66</v>
      </c>
      <c r="D34">
        <v>1002</v>
      </c>
      <c r="E34">
        <v>2006</v>
      </c>
      <c r="F34" s="86" t="s">
        <v>21</v>
      </c>
      <c r="G34" s="7">
        <v>46033</v>
      </c>
      <c r="H34">
        <v>181</v>
      </c>
      <c r="I34" s="86" t="s">
        <v>67</v>
      </c>
      <c r="J34" s="86" t="s">
        <v>228</v>
      </c>
      <c r="K34" t="s">
        <v>228</v>
      </c>
      <c r="L34" t="s">
        <v>227</v>
      </c>
    </row>
    <row r="35" spans="1:12">
      <c r="A35">
        <v>3034</v>
      </c>
      <c r="B35" s="86" t="s">
        <v>117</v>
      </c>
      <c r="C35" s="86" t="s">
        <v>70</v>
      </c>
      <c r="D35">
        <v>1001</v>
      </c>
      <c r="E35">
        <v>2002</v>
      </c>
      <c r="F35" s="86" t="s">
        <v>21</v>
      </c>
      <c r="G35" s="7">
        <v>46035</v>
      </c>
      <c r="H35">
        <v>179</v>
      </c>
      <c r="I35" s="86" t="s">
        <v>72</v>
      </c>
      <c r="J35" s="86" t="s">
        <v>228</v>
      </c>
      <c r="K35" t="s">
        <v>228</v>
      </c>
      <c r="L35" t="s">
        <v>227</v>
      </c>
    </row>
    <row r="36" spans="1:12">
      <c r="A36">
        <v>3221</v>
      </c>
      <c r="B36" s="86" t="s">
        <v>126</v>
      </c>
      <c r="C36" s="86" t="s">
        <v>173</v>
      </c>
      <c r="D36">
        <v>1003</v>
      </c>
      <c r="E36">
        <v>2009</v>
      </c>
      <c r="F36" s="86" t="s">
        <v>21</v>
      </c>
      <c r="G36" s="7">
        <v>46038</v>
      </c>
      <c r="H36">
        <v>176</v>
      </c>
      <c r="I36" s="86" t="s">
        <v>67</v>
      </c>
      <c r="J36" s="86" t="s">
        <v>228</v>
      </c>
      <c r="K36" t="s">
        <v>228</v>
      </c>
      <c r="L36" t="s">
        <v>227</v>
      </c>
    </row>
    <row r="37" spans="1:12">
      <c r="A37">
        <v>3093</v>
      </c>
      <c r="B37" s="86" t="s">
        <v>107</v>
      </c>
      <c r="C37" s="86" t="s">
        <v>131</v>
      </c>
      <c r="D37">
        <v>1005</v>
      </c>
      <c r="E37">
        <v>2015</v>
      </c>
      <c r="F37" s="86" t="s">
        <v>21</v>
      </c>
      <c r="G37" s="7">
        <v>46043</v>
      </c>
      <c r="H37">
        <v>171</v>
      </c>
      <c r="I37" s="86" t="s">
        <v>67</v>
      </c>
      <c r="J37" s="86" t="s">
        <v>228</v>
      </c>
      <c r="K37" t="s">
        <v>228</v>
      </c>
      <c r="L37" t="s">
        <v>227</v>
      </c>
    </row>
    <row r="38" spans="1:12">
      <c r="A38">
        <v>3063</v>
      </c>
      <c r="B38" s="86" t="s">
        <v>73</v>
      </c>
      <c r="C38" s="86" t="s">
        <v>100</v>
      </c>
      <c r="D38">
        <v>1006</v>
      </c>
      <c r="E38">
        <v>2017</v>
      </c>
      <c r="F38" s="86" t="s">
        <v>86</v>
      </c>
      <c r="G38" s="7">
        <v>46049</v>
      </c>
      <c r="H38">
        <v>165</v>
      </c>
      <c r="I38" s="86" t="s">
        <v>67</v>
      </c>
      <c r="J38" s="86" t="s">
        <v>228</v>
      </c>
      <c r="K38" t="s">
        <v>228</v>
      </c>
      <c r="L38" t="s">
        <v>227</v>
      </c>
    </row>
    <row r="39" spans="1:12">
      <c r="A39">
        <v>3122</v>
      </c>
      <c r="B39" s="86" t="s">
        <v>163</v>
      </c>
      <c r="C39" s="86" t="s">
        <v>141</v>
      </c>
      <c r="D39">
        <v>1002</v>
      </c>
      <c r="E39">
        <v>2005</v>
      </c>
      <c r="F39" s="86" t="s">
        <v>21</v>
      </c>
      <c r="G39" s="7">
        <v>46050</v>
      </c>
      <c r="H39">
        <v>164</v>
      </c>
      <c r="I39" s="86" t="s">
        <v>67</v>
      </c>
      <c r="J39" s="86" t="s">
        <v>228</v>
      </c>
      <c r="K39" t="s">
        <v>228</v>
      </c>
      <c r="L39" t="s">
        <v>227</v>
      </c>
    </row>
    <row r="40" spans="1:12">
      <c r="A40">
        <v>3098</v>
      </c>
      <c r="B40" s="86" t="s">
        <v>73</v>
      </c>
      <c r="C40" s="86" t="s">
        <v>136</v>
      </c>
      <c r="D40">
        <v>1001</v>
      </c>
      <c r="E40">
        <v>2003</v>
      </c>
      <c r="F40" s="86" t="s">
        <v>21</v>
      </c>
      <c r="G40" s="7">
        <v>46057</v>
      </c>
      <c r="H40">
        <v>157</v>
      </c>
      <c r="I40" s="86" t="s">
        <v>72</v>
      </c>
      <c r="J40" s="86" t="s">
        <v>228</v>
      </c>
      <c r="K40" t="s">
        <v>228</v>
      </c>
      <c r="L40" t="s">
        <v>227</v>
      </c>
    </row>
    <row r="41" spans="1:12">
      <c r="A41">
        <v>3021</v>
      </c>
      <c r="B41" s="86" t="s">
        <v>92</v>
      </c>
      <c r="C41" s="86" t="s">
        <v>109</v>
      </c>
      <c r="D41">
        <v>1001</v>
      </c>
      <c r="E41">
        <v>2002</v>
      </c>
      <c r="F41" s="86" t="s">
        <v>21</v>
      </c>
      <c r="G41" s="7">
        <v>46058</v>
      </c>
      <c r="H41">
        <v>156</v>
      </c>
      <c r="I41" s="86" t="s">
        <v>72</v>
      </c>
      <c r="J41" s="86" t="s">
        <v>228</v>
      </c>
      <c r="K41" t="s">
        <v>228</v>
      </c>
      <c r="L41" t="s">
        <v>227</v>
      </c>
    </row>
    <row r="42" spans="1:12">
      <c r="A42">
        <v>3043</v>
      </c>
      <c r="B42" s="86" t="s">
        <v>96</v>
      </c>
      <c r="C42" s="86" t="s">
        <v>120</v>
      </c>
      <c r="D42">
        <v>1003</v>
      </c>
      <c r="E42">
        <v>2009</v>
      </c>
      <c r="F42" s="86" t="s">
        <v>21</v>
      </c>
      <c r="G42" s="7">
        <v>46061</v>
      </c>
      <c r="H42">
        <v>153</v>
      </c>
      <c r="I42" s="86" t="s">
        <v>81</v>
      </c>
      <c r="J42" s="86" t="s">
        <v>228</v>
      </c>
      <c r="K42" t="s">
        <v>228</v>
      </c>
      <c r="L42" t="s">
        <v>227</v>
      </c>
    </row>
    <row r="43" spans="1:12">
      <c r="A43">
        <v>3032</v>
      </c>
      <c r="B43" s="86" t="s">
        <v>126</v>
      </c>
      <c r="C43" s="86" t="s">
        <v>127</v>
      </c>
      <c r="D43">
        <v>1001</v>
      </c>
      <c r="E43">
        <v>2003</v>
      </c>
      <c r="F43" s="86" t="s">
        <v>21</v>
      </c>
      <c r="G43" s="7">
        <v>46061</v>
      </c>
      <c r="H43">
        <v>153</v>
      </c>
      <c r="I43" s="86" t="s">
        <v>72</v>
      </c>
      <c r="J43" s="86" t="s">
        <v>228</v>
      </c>
      <c r="K43" t="s">
        <v>228</v>
      </c>
      <c r="L43" t="s">
        <v>227</v>
      </c>
    </row>
    <row r="44" spans="1:12">
      <c r="A44">
        <v>3131</v>
      </c>
      <c r="B44" s="86" t="s">
        <v>155</v>
      </c>
      <c r="C44" s="86" t="s">
        <v>131</v>
      </c>
      <c r="D44">
        <v>1002</v>
      </c>
      <c r="E44">
        <v>2005</v>
      </c>
      <c r="F44" s="86" t="s">
        <v>21</v>
      </c>
      <c r="G44" s="7">
        <v>46065</v>
      </c>
      <c r="H44">
        <v>149</v>
      </c>
      <c r="I44" s="86" t="s">
        <v>72</v>
      </c>
      <c r="J44" s="86" t="s">
        <v>228</v>
      </c>
      <c r="K44" t="s">
        <v>228</v>
      </c>
      <c r="L44" t="s">
        <v>227</v>
      </c>
    </row>
    <row r="45" spans="1:12">
      <c r="A45">
        <v>3130</v>
      </c>
      <c r="B45" s="86" t="s">
        <v>184</v>
      </c>
      <c r="C45" s="86" t="s">
        <v>176</v>
      </c>
      <c r="D45">
        <v>1001</v>
      </c>
      <c r="E45">
        <v>2003</v>
      </c>
      <c r="F45" s="86" t="s">
        <v>21</v>
      </c>
      <c r="G45" s="7">
        <v>46069</v>
      </c>
      <c r="H45">
        <v>145</v>
      </c>
      <c r="I45" s="86" t="s">
        <v>67</v>
      </c>
      <c r="J45" s="86" t="s">
        <v>228</v>
      </c>
      <c r="K45" t="s">
        <v>228</v>
      </c>
      <c r="L45" t="s">
        <v>227</v>
      </c>
    </row>
    <row r="46" spans="1:12">
      <c r="A46">
        <v>3014</v>
      </c>
      <c r="B46" s="86" t="s">
        <v>96</v>
      </c>
      <c r="C46" s="86" t="s">
        <v>97</v>
      </c>
      <c r="D46">
        <v>1002</v>
      </c>
      <c r="E46">
        <v>2006</v>
      </c>
      <c r="F46" s="86" t="s">
        <v>21</v>
      </c>
      <c r="G46" s="7">
        <v>46071</v>
      </c>
      <c r="H46">
        <v>143</v>
      </c>
      <c r="I46" s="86" t="s">
        <v>67</v>
      </c>
      <c r="J46" s="86" t="s">
        <v>228</v>
      </c>
      <c r="K46" t="s">
        <v>228</v>
      </c>
      <c r="L46" t="s">
        <v>227</v>
      </c>
    </row>
    <row r="47" spans="1:12">
      <c r="A47">
        <v>3007</v>
      </c>
      <c r="B47" s="86" t="s">
        <v>82</v>
      </c>
      <c r="C47" s="86" t="s">
        <v>80</v>
      </c>
      <c r="D47">
        <v>1006</v>
      </c>
      <c r="E47">
        <v>2018</v>
      </c>
      <c r="F47" s="86" t="s">
        <v>21</v>
      </c>
      <c r="G47" s="7">
        <v>46072</v>
      </c>
      <c r="H47">
        <v>142</v>
      </c>
      <c r="I47" s="86" t="s">
        <v>72</v>
      </c>
      <c r="J47" s="86" t="s">
        <v>228</v>
      </c>
      <c r="K47" t="s">
        <v>228</v>
      </c>
      <c r="L47" t="s">
        <v>227</v>
      </c>
    </row>
    <row r="48" spans="1:12">
      <c r="A48">
        <v>3133</v>
      </c>
      <c r="B48" s="86" t="s">
        <v>113</v>
      </c>
      <c r="C48" s="86" t="s">
        <v>150</v>
      </c>
      <c r="D48">
        <v>1004</v>
      </c>
      <c r="E48">
        <v>2012</v>
      </c>
      <c r="F48" s="86" t="s">
        <v>21</v>
      </c>
      <c r="G48" s="7">
        <v>46076</v>
      </c>
      <c r="H48">
        <v>138</v>
      </c>
      <c r="I48" s="86" t="s">
        <v>67</v>
      </c>
      <c r="J48" s="86" t="s">
        <v>228</v>
      </c>
      <c r="K48" t="s">
        <v>228</v>
      </c>
      <c r="L48" t="s">
        <v>227</v>
      </c>
    </row>
    <row r="49" spans="1:12">
      <c r="A49">
        <v>3151</v>
      </c>
      <c r="B49" s="86" t="s">
        <v>117</v>
      </c>
      <c r="C49" s="86" t="s">
        <v>139</v>
      </c>
      <c r="D49">
        <v>1004</v>
      </c>
      <c r="E49">
        <v>2011</v>
      </c>
      <c r="F49" s="86" t="s">
        <v>21</v>
      </c>
      <c r="G49" s="7">
        <v>46079</v>
      </c>
      <c r="H49">
        <v>135</v>
      </c>
      <c r="I49" s="86" t="s">
        <v>72</v>
      </c>
      <c r="J49" s="86" t="s">
        <v>228</v>
      </c>
      <c r="K49" t="s">
        <v>228</v>
      </c>
      <c r="L49" t="s">
        <v>227</v>
      </c>
    </row>
    <row r="50" spans="1:12">
      <c r="A50">
        <v>3026</v>
      </c>
      <c r="B50" s="86" t="s">
        <v>116</v>
      </c>
      <c r="C50" s="86" t="s">
        <v>66</v>
      </c>
      <c r="D50">
        <v>1006</v>
      </c>
      <c r="E50">
        <v>2018</v>
      </c>
      <c r="F50" s="86" t="s">
        <v>21</v>
      </c>
      <c r="G50" s="7">
        <v>46085</v>
      </c>
      <c r="H50">
        <v>129</v>
      </c>
      <c r="I50" s="86" t="s">
        <v>72</v>
      </c>
      <c r="J50" s="86" t="s">
        <v>228</v>
      </c>
      <c r="K50" t="s">
        <v>228</v>
      </c>
      <c r="L50" t="s">
        <v>227</v>
      </c>
    </row>
    <row r="51" spans="1:12">
      <c r="A51">
        <v>3170</v>
      </c>
      <c r="B51" s="86" t="s">
        <v>143</v>
      </c>
      <c r="C51" s="86" t="s">
        <v>85</v>
      </c>
      <c r="D51">
        <v>1005</v>
      </c>
      <c r="E51">
        <v>2013</v>
      </c>
      <c r="F51" s="86" t="s">
        <v>21</v>
      </c>
      <c r="G51" s="7">
        <v>46087</v>
      </c>
      <c r="H51">
        <v>127</v>
      </c>
      <c r="I51" s="86" t="s">
        <v>72</v>
      </c>
      <c r="J51" s="86" t="s">
        <v>228</v>
      </c>
      <c r="K51" t="s">
        <v>228</v>
      </c>
      <c r="L51" t="s">
        <v>227</v>
      </c>
    </row>
    <row r="52" spans="1:12">
      <c r="A52">
        <v>3027</v>
      </c>
      <c r="B52" s="86" t="s">
        <v>117</v>
      </c>
      <c r="C52" s="86" t="s">
        <v>118</v>
      </c>
      <c r="D52">
        <v>1006</v>
      </c>
      <c r="E52">
        <v>2018</v>
      </c>
      <c r="F52" s="86" t="s">
        <v>21</v>
      </c>
      <c r="G52" s="7">
        <v>46090</v>
      </c>
      <c r="H52">
        <v>124</v>
      </c>
      <c r="I52" s="86" t="s">
        <v>67</v>
      </c>
      <c r="J52" s="86" t="s">
        <v>228</v>
      </c>
      <c r="K52" t="s">
        <v>228</v>
      </c>
      <c r="L52" t="s">
        <v>227</v>
      </c>
    </row>
    <row r="53" spans="1:12">
      <c r="A53">
        <v>3061</v>
      </c>
      <c r="B53" s="86" t="s">
        <v>69</v>
      </c>
      <c r="C53" s="86" t="s">
        <v>136</v>
      </c>
      <c r="D53">
        <v>1006</v>
      </c>
      <c r="E53">
        <v>2018</v>
      </c>
      <c r="F53" s="86" t="s">
        <v>21</v>
      </c>
      <c r="G53" s="7">
        <v>46099</v>
      </c>
      <c r="H53">
        <v>115</v>
      </c>
      <c r="I53" s="86" t="s">
        <v>81</v>
      </c>
      <c r="J53" s="86" t="s">
        <v>228</v>
      </c>
      <c r="K53" t="s">
        <v>228</v>
      </c>
      <c r="L53" t="s">
        <v>227</v>
      </c>
    </row>
    <row r="54" spans="1:12">
      <c r="A54">
        <v>3146</v>
      </c>
      <c r="B54" s="86" t="s">
        <v>104</v>
      </c>
      <c r="C54" s="86" t="s">
        <v>175</v>
      </c>
      <c r="D54">
        <v>1001</v>
      </c>
      <c r="E54">
        <v>2002</v>
      </c>
      <c r="F54" s="86" t="s">
        <v>21</v>
      </c>
      <c r="G54" s="7">
        <v>46102</v>
      </c>
      <c r="H54">
        <v>112</v>
      </c>
      <c r="I54" s="86" t="s">
        <v>72</v>
      </c>
      <c r="J54" s="86" t="s">
        <v>228</v>
      </c>
      <c r="K54" t="s">
        <v>228</v>
      </c>
      <c r="L54" t="s">
        <v>227</v>
      </c>
    </row>
    <row r="55" spans="1:12">
      <c r="A55">
        <v>3092</v>
      </c>
      <c r="B55" s="86" t="s">
        <v>128</v>
      </c>
      <c r="C55" s="86" t="s">
        <v>141</v>
      </c>
      <c r="D55">
        <v>1003</v>
      </c>
      <c r="E55">
        <v>2008</v>
      </c>
      <c r="F55" s="86" t="s">
        <v>21</v>
      </c>
      <c r="G55" s="7">
        <v>46103</v>
      </c>
      <c r="H55">
        <v>111</v>
      </c>
      <c r="I55" s="86" t="s">
        <v>67</v>
      </c>
      <c r="J55" s="86" t="s">
        <v>228</v>
      </c>
      <c r="K55" t="s">
        <v>228</v>
      </c>
      <c r="L55" t="s">
        <v>227</v>
      </c>
    </row>
    <row r="56" spans="1:12">
      <c r="A56">
        <v>3009</v>
      </c>
      <c r="B56" s="86" t="s">
        <v>84</v>
      </c>
      <c r="C56" s="86" t="s">
        <v>85</v>
      </c>
      <c r="D56">
        <v>1006</v>
      </c>
      <c r="E56">
        <v>2018</v>
      </c>
      <c r="F56" s="86" t="s">
        <v>86</v>
      </c>
      <c r="G56" s="7">
        <v>46104</v>
      </c>
      <c r="H56">
        <v>110</v>
      </c>
      <c r="I56" s="86" t="s">
        <v>72</v>
      </c>
      <c r="J56" s="86" t="s">
        <v>228</v>
      </c>
      <c r="K56" t="s">
        <v>228</v>
      </c>
      <c r="L56" t="s">
        <v>227</v>
      </c>
    </row>
    <row r="57" spans="1:12">
      <c r="A57">
        <v>3153</v>
      </c>
      <c r="B57" s="86" t="s">
        <v>170</v>
      </c>
      <c r="C57" s="86" t="s">
        <v>169</v>
      </c>
      <c r="D57">
        <v>1002</v>
      </c>
      <c r="E57">
        <v>2005</v>
      </c>
      <c r="F57" s="86" t="s">
        <v>21</v>
      </c>
      <c r="G57" s="7">
        <v>46105</v>
      </c>
      <c r="H57">
        <v>109</v>
      </c>
      <c r="I57" s="86" t="s">
        <v>67</v>
      </c>
      <c r="J57" s="86" t="s">
        <v>228</v>
      </c>
      <c r="K57" t="s">
        <v>228</v>
      </c>
      <c r="L57" t="s">
        <v>227</v>
      </c>
    </row>
    <row r="58" spans="1:12">
      <c r="A58">
        <v>3229</v>
      </c>
      <c r="B58" s="86" t="s">
        <v>135</v>
      </c>
      <c r="C58" s="86" t="s">
        <v>80</v>
      </c>
      <c r="D58">
        <v>1005</v>
      </c>
      <c r="E58">
        <v>2013</v>
      </c>
      <c r="F58" s="86" t="s">
        <v>21</v>
      </c>
      <c r="G58" s="7">
        <v>46109</v>
      </c>
      <c r="H58">
        <v>105</v>
      </c>
      <c r="I58" s="86" t="s">
        <v>67</v>
      </c>
      <c r="J58" s="86" t="s">
        <v>228</v>
      </c>
      <c r="K58" t="s">
        <v>228</v>
      </c>
      <c r="L58" t="s">
        <v>227</v>
      </c>
    </row>
    <row r="59" spans="1:12">
      <c r="A59">
        <v>3245</v>
      </c>
      <c r="B59" s="86" t="s">
        <v>103</v>
      </c>
      <c r="C59" s="86" t="s">
        <v>111</v>
      </c>
      <c r="D59">
        <v>1006</v>
      </c>
      <c r="E59">
        <v>2018</v>
      </c>
      <c r="F59" s="86" t="s">
        <v>86</v>
      </c>
      <c r="G59" s="7">
        <v>46110</v>
      </c>
      <c r="H59">
        <v>104</v>
      </c>
      <c r="I59" s="86" t="s">
        <v>81</v>
      </c>
      <c r="J59" s="86" t="s">
        <v>228</v>
      </c>
      <c r="K59" t="s">
        <v>228</v>
      </c>
      <c r="L59" t="s">
        <v>227</v>
      </c>
    </row>
    <row r="60" spans="1:12">
      <c r="A60">
        <v>3196</v>
      </c>
      <c r="B60" s="86" t="s">
        <v>94</v>
      </c>
      <c r="C60" s="86" t="s">
        <v>150</v>
      </c>
      <c r="D60">
        <v>1006</v>
      </c>
      <c r="E60">
        <v>2017</v>
      </c>
      <c r="F60" s="86" t="s">
        <v>21</v>
      </c>
      <c r="G60" s="7">
        <v>46111</v>
      </c>
      <c r="H60">
        <v>103</v>
      </c>
      <c r="I60" s="86" t="s">
        <v>67</v>
      </c>
      <c r="J60" s="86" t="s">
        <v>228</v>
      </c>
      <c r="K60" t="s">
        <v>228</v>
      </c>
      <c r="L60" t="s">
        <v>227</v>
      </c>
    </row>
    <row r="61" spans="1:12">
      <c r="A61">
        <v>3108</v>
      </c>
      <c r="B61" s="86" t="s">
        <v>103</v>
      </c>
      <c r="C61" s="86" t="s">
        <v>176</v>
      </c>
      <c r="D61">
        <v>1001</v>
      </c>
      <c r="E61">
        <v>2002</v>
      </c>
      <c r="F61" s="86" t="s">
        <v>21</v>
      </c>
      <c r="G61" s="7">
        <v>46113</v>
      </c>
      <c r="H61">
        <v>101</v>
      </c>
      <c r="I61" s="86" t="s">
        <v>72</v>
      </c>
      <c r="J61" s="86" t="s">
        <v>228</v>
      </c>
      <c r="K61" t="s">
        <v>228</v>
      </c>
      <c r="L61" t="s">
        <v>227</v>
      </c>
    </row>
    <row r="62" spans="1:12">
      <c r="A62">
        <v>3055</v>
      </c>
      <c r="B62" s="86" t="s">
        <v>94</v>
      </c>
      <c r="C62" s="86" t="s">
        <v>120</v>
      </c>
      <c r="D62">
        <v>1001</v>
      </c>
      <c r="E62">
        <v>2003</v>
      </c>
      <c r="F62" s="86" t="s">
        <v>21</v>
      </c>
      <c r="G62" s="7">
        <v>46114</v>
      </c>
      <c r="H62">
        <v>100</v>
      </c>
      <c r="I62" s="86" t="s">
        <v>81</v>
      </c>
      <c r="J62" s="86" t="s">
        <v>228</v>
      </c>
      <c r="K62" t="s">
        <v>228</v>
      </c>
      <c r="L62" t="s">
        <v>227</v>
      </c>
    </row>
    <row r="63" spans="1:12">
      <c r="A63">
        <v>3201</v>
      </c>
      <c r="B63" s="86" t="s">
        <v>94</v>
      </c>
      <c r="C63" s="86" t="s">
        <v>176</v>
      </c>
      <c r="D63">
        <v>1004</v>
      </c>
      <c r="E63">
        <v>2011</v>
      </c>
      <c r="F63" s="86" t="s">
        <v>21</v>
      </c>
      <c r="G63" s="7">
        <v>46115</v>
      </c>
      <c r="H63">
        <v>99</v>
      </c>
      <c r="I63" s="86" t="s">
        <v>67</v>
      </c>
      <c r="J63" s="86" t="s">
        <v>228</v>
      </c>
      <c r="K63" t="s">
        <v>228</v>
      </c>
      <c r="L63" t="s">
        <v>227</v>
      </c>
    </row>
    <row r="64" spans="1:12">
      <c r="A64">
        <v>3140</v>
      </c>
      <c r="B64" s="86" t="s">
        <v>89</v>
      </c>
      <c r="C64" s="86" t="s">
        <v>144</v>
      </c>
      <c r="D64">
        <v>1003</v>
      </c>
      <c r="E64">
        <v>2009</v>
      </c>
      <c r="F64" s="86" t="s">
        <v>21</v>
      </c>
      <c r="G64" s="7">
        <v>46115</v>
      </c>
      <c r="H64">
        <v>99</v>
      </c>
      <c r="I64" s="86" t="s">
        <v>67</v>
      </c>
      <c r="J64" s="86" t="s">
        <v>228</v>
      </c>
      <c r="K64" t="s">
        <v>228</v>
      </c>
      <c r="L64" t="s">
        <v>227</v>
      </c>
    </row>
    <row r="65" spans="1:12">
      <c r="A65">
        <v>3217</v>
      </c>
      <c r="B65" s="86" t="s">
        <v>148</v>
      </c>
      <c r="C65" s="86" t="s">
        <v>78</v>
      </c>
      <c r="D65">
        <v>1002</v>
      </c>
      <c r="E65">
        <v>2005</v>
      </c>
      <c r="F65" s="86" t="s">
        <v>86</v>
      </c>
      <c r="G65" s="7">
        <v>46116</v>
      </c>
      <c r="H65">
        <v>98</v>
      </c>
      <c r="I65" s="86" t="s">
        <v>81</v>
      </c>
      <c r="J65" s="86" t="s">
        <v>228</v>
      </c>
      <c r="K65" t="s">
        <v>228</v>
      </c>
      <c r="L65" t="s">
        <v>227</v>
      </c>
    </row>
    <row r="66" spans="1:12">
      <c r="A66">
        <v>3222</v>
      </c>
      <c r="B66" s="86" t="s">
        <v>154</v>
      </c>
      <c r="C66" s="86" t="s">
        <v>173</v>
      </c>
      <c r="D66">
        <v>1002</v>
      </c>
      <c r="E66">
        <v>2006</v>
      </c>
      <c r="F66" s="86" t="s">
        <v>21</v>
      </c>
      <c r="G66" s="7">
        <v>46116</v>
      </c>
      <c r="H66">
        <v>98</v>
      </c>
      <c r="I66" s="86" t="s">
        <v>67</v>
      </c>
      <c r="J66" s="86" t="s">
        <v>228</v>
      </c>
      <c r="K66" t="s">
        <v>228</v>
      </c>
      <c r="L66" t="s">
        <v>227</v>
      </c>
    </row>
    <row r="67" spans="1:12">
      <c r="A67">
        <v>3023</v>
      </c>
      <c r="B67" s="86" t="s">
        <v>113</v>
      </c>
      <c r="C67" s="86" t="s">
        <v>114</v>
      </c>
      <c r="D67">
        <v>1004</v>
      </c>
      <c r="E67">
        <v>2012</v>
      </c>
      <c r="F67" s="86" t="s">
        <v>21</v>
      </c>
      <c r="G67" s="7">
        <v>46117</v>
      </c>
      <c r="H67">
        <v>97</v>
      </c>
      <c r="I67" s="86" t="s">
        <v>67</v>
      </c>
      <c r="J67" s="86" t="s">
        <v>228</v>
      </c>
      <c r="K67" t="s">
        <v>228</v>
      </c>
      <c r="L67" t="s">
        <v>227</v>
      </c>
    </row>
    <row r="68" spans="1:12">
      <c r="A68">
        <v>3154</v>
      </c>
      <c r="B68" s="86" t="s">
        <v>119</v>
      </c>
      <c r="C68" s="86" t="s">
        <v>160</v>
      </c>
      <c r="D68">
        <v>1002</v>
      </c>
      <c r="E68">
        <v>2005</v>
      </c>
      <c r="F68" s="86" t="s">
        <v>21</v>
      </c>
      <c r="G68" s="7">
        <v>46120</v>
      </c>
      <c r="H68">
        <v>94</v>
      </c>
      <c r="I68" s="86" t="s">
        <v>72</v>
      </c>
      <c r="J68" s="86" t="s">
        <v>228</v>
      </c>
      <c r="K68" t="s">
        <v>228</v>
      </c>
      <c r="L68" t="s">
        <v>227</v>
      </c>
    </row>
    <row r="69" spans="1:12">
      <c r="A69">
        <v>3052</v>
      </c>
      <c r="B69" s="86" t="s">
        <v>146</v>
      </c>
      <c r="C69" s="86" t="s">
        <v>137</v>
      </c>
      <c r="D69">
        <v>1003</v>
      </c>
      <c r="E69">
        <v>2008</v>
      </c>
      <c r="F69" s="86" t="s">
        <v>21</v>
      </c>
      <c r="G69" s="7">
        <v>46121</v>
      </c>
      <c r="H69">
        <v>93</v>
      </c>
      <c r="I69" s="86" t="s">
        <v>67</v>
      </c>
      <c r="J69" s="86" t="s">
        <v>228</v>
      </c>
      <c r="K69" t="s">
        <v>228</v>
      </c>
      <c r="L69" t="s">
        <v>227</v>
      </c>
    </row>
    <row r="70" spans="1:12">
      <c r="A70">
        <v>3072</v>
      </c>
      <c r="B70" s="86" t="s">
        <v>155</v>
      </c>
      <c r="C70" s="86" t="s">
        <v>95</v>
      </c>
      <c r="D70">
        <v>1003</v>
      </c>
      <c r="E70">
        <v>2008</v>
      </c>
      <c r="F70" s="86" t="s">
        <v>86</v>
      </c>
      <c r="G70" s="7">
        <v>46121</v>
      </c>
      <c r="H70">
        <v>93</v>
      </c>
      <c r="I70" s="86" t="s">
        <v>81</v>
      </c>
      <c r="J70" s="86" t="s">
        <v>228</v>
      </c>
      <c r="K70" t="s">
        <v>228</v>
      </c>
      <c r="L70" t="s">
        <v>227</v>
      </c>
    </row>
    <row r="71" spans="1:12">
      <c r="A71">
        <v>3180</v>
      </c>
      <c r="B71" s="86" t="s">
        <v>141</v>
      </c>
      <c r="C71" s="86" t="s">
        <v>150</v>
      </c>
      <c r="D71">
        <v>1001</v>
      </c>
      <c r="E71">
        <v>2002</v>
      </c>
      <c r="F71" s="86" t="s">
        <v>21</v>
      </c>
      <c r="G71" s="7">
        <v>46121</v>
      </c>
      <c r="H71">
        <v>93</v>
      </c>
      <c r="I71" s="86" t="s">
        <v>67</v>
      </c>
      <c r="J71" s="86" t="s">
        <v>228</v>
      </c>
      <c r="K71" t="s">
        <v>228</v>
      </c>
      <c r="L71" t="s">
        <v>227</v>
      </c>
    </row>
    <row r="72" spans="1:12">
      <c r="A72">
        <v>3177</v>
      </c>
      <c r="B72" s="86" t="s">
        <v>146</v>
      </c>
      <c r="C72" s="86" t="s">
        <v>162</v>
      </c>
      <c r="D72">
        <v>1006</v>
      </c>
      <c r="E72">
        <v>2018</v>
      </c>
      <c r="F72" s="86" t="s">
        <v>21</v>
      </c>
      <c r="G72" s="7">
        <v>46123</v>
      </c>
      <c r="H72">
        <v>91</v>
      </c>
      <c r="I72" s="86" t="s">
        <v>81</v>
      </c>
      <c r="J72" s="86" t="s">
        <v>228</v>
      </c>
      <c r="K72" t="s">
        <v>228</v>
      </c>
      <c r="L72" t="s">
        <v>227</v>
      </c>
    </row>
    <row r="73" spans="1:12">
      <c r="A73">
        <v>3115</v>
      </c>
      <c r="B73" s="86" t="s">
        <v>96</v>
      </c>
      <c r="C73" s="86" t="s">
        <v>173</v>
      </c>
      <c r="D73">
        <v>1002</v>
      </c>
      <c r="E73">
        <v>2006</v>
      </c>
      <c r="F73" s="86" t="s">
        <v>21</v>
      </c>
      <c r="G73" s="7">
        <v>46129</v>
      </c>
      <c r="H73">
        <v>85</v>
      </c>
      <c r="I73" s="86" t="s">
        <v>72</v>
      </c>
      <c r="J73" s="86" t="s">
        <v>228</v>
      </c>
      <c r="K73" t="s">
        <v>228</v>
      </c>
      <c r="L73" t="s">
        <v>227</v>
      </c>
    </row>
    <row r="74" spans="1:12">
      <c r="A74">
        <v>3016</v>
      </c>
      <c r="B74" s="86" t="s">
        <v>82</v>
      </c>
      <c r="C74" s="86" t="s">
        <v>100</v>
      </c>
      <c r="D74">
        <v>1005</v>
      </c>
      <c r="E74">
        <v>2013</v>
      </c>
      <c r="F74" s="86" t="s">
        <v>86</v>
      </c>
      <c r="G74" s="7">
        <v>46134</v>
      </c>
      <c r="H74">
        <v>80</v>
      </c>
      <c r="I74" s="86" t="s">
        <v>67</v>
      </c>
      <c r="J74" s="86" t="s">
        <v>228</v>
      </c>
      <c r="K74" t="s">
        <v>228</v>
      </c>
      <c r="L74" t="s">
        <v>227</v>
      </c>
    </row>
    <row r="75" spans="1:12">
      <c r="A75">
        <v>3235</v>
      </c>
      <c r="B75" s="86" t="s">
        <v>132</v>
      </c>
      <c r="C75" s="86" t="s">
        <v>176</v>
      </c>
      <c r="D75">
        <v>1004</v>
      </c>
      <c r="E75">
        <v>2011</v>
      </c>
      <c r="F75" s="86" t="s">
        <v>21</v>
      </c>
      <c r="G75" s="7">
        <v>46137</v>
      </c>
      <c r="H75">
        <v>77</v>
      </c>
      <c r="I75" s="86" t="s">
        <v>67</v>
      </c>
      <c r="J75" s="86" t="s">
        <v>228</v>
      </c>
      <c r="K75" t="s">
        <v>228</v>
      </c>
      <c r="L75" t="s">
        <v>227</v>
      </c>
    </row>
    <row r="76" spans="1:12">
      <c r="A76">
        <v>3214</v>
      </c>
      <c r="B76" s="86" t="s">
        <v>83</v>
      </c>
      <c r="C76" s="86" t="s">
        <v>139</v>
      </c>
      <c r="D76">
        <v>1004</v>
      </c>
      <c r="E76">
        <v>2011</v>
      </c>
      <c r="F76" s="86" t="s">
        <v>21</v>
      </c>
      <c r="G76" s="7">
        <v>46139</v>
      </c>
      <c r="H76">
        <v>75</v>
      </c>
      <c r="I76" s="86" t="s">
        <v>81</v>
      </c>
      <c r="J76" s="86" t="s">
        <v>228</v>
      </c>
      <c r="K76" t="s">
        <v>228</v>
      </c>
      <c r="L76" t="s">
        <v>227</v>
      </c>
    </row>
    <row r="77" spans="1:12">
      <c r="A77">
        <v>3068</v>
      </c>
      <c r="B77" s="86" t="s">
        <v>156</v>
      </c>
      <c r="C77" s="86" t="s">
        <v>88</v>
      </c>
      <c r="D77">
        <v>1002</v>
      </c>
      <c r="E77">
        <v>2006</v>
      </c>
      <c r="F77" s="86" t="s">
        <v>21</v>
      </c>
      <c r="G77" s="7">
        <v>46149</v>
      </c>
      <c r="H77">
        <v>65</v>
      </c>
      <c r="I77" s="86" t="s">
        <v>72</v>
      </c>
      <c r="J77" s="86" t="s">
        <v>228</v>
      </c>
      <c r="K77" t="s">
        <v>228</v>
      </c>
      <c r="L77" t="s">
        <v>227</v>
      </c>
    </row>
    <row r="78" spans="1:12">
      <c r="A78">
        <v>3031</v>
      </c>
      <c r="B78" s="86" t="s">
        <v>124</v>
      </c>
      <c r="C78" s="86" t="s">
        <v>125</v>
      </c>
      <c r="D78">
        <v>1002</v>
      </c>
      <c r="E78">
        <v>2005</v>
      </c>
      <c r="F78" s="86" t="s">
        <v>21</v>
      </c>
      <c r="G78" s="7">
        <v>46153</v>
      </c>
      <c r="H78">
        <v>61</v>
      </c>
      <c r="I78" s="86" t="s">
        <v>72</v>
      </c>
      <c r="J78" s="86" t="s">
        <v>228</v>
      </c>
      <c r="K78" t="s">
        <v>228</v>
      </c>
      <c r="L78" t="s">
        <v>227</v>
      </c>
    </row>
    <row r="79" spans="1:12">
      <c r="A79">
        <v>3162</v>
      </c>
      <c r="B79" s="86" t="s">
        <v>94</v>
      </c>
      <c r="C79" s="86" t="s">
        <v>181</v>
      </c>
      <c r="D79">
        <v>1004</v>
      </c>
      <c r="E79">
        <v>2012</v>
      </c>
      <c r="F79" s="86" t="s">
        <v>86</v>
      </c>
      <c r="G79" s="7">
        <v>46155</v>
      </c>
      <c r="H79">
        <v>59</v>
      </c>
      <c r="I79" s="86" t="s">
        <v>67</v>
      </c>
      <c r="J79" s="86" t="s">
        <v>228</v>
      </c>
      <c r="K79" t="s">
        <v>228</v>
      </c>
      <c r="L79" t="s">
        <v>227</v>
      </c>
    </row>
    <row r="80" spans="1:12">
      <c r="A80">
        <v>3101</v>
      </c>
      <c r="B80" s="86" t="s">
        <v>96</v>
      </c>
      <c r="C80" s="86" t="s">
        <v>74</v>
      </c>
      <c r="D80">
        <v>1004</v>
      </c>
      <c r="E80">
        <v>2012</v>
      </c>
      <c r="F80" s="86" t="s">
        <v>21</v>
      </c>
      <c r="G80" s="7">
        <v>46167</v>
      </c>
      <c r="H80">
        <v>47</v>
      </c>
      <c r="I80" s="86" t="s">
        <v>67</v>
      </c>
      <c r="J80" s="86" t="s">
        <v>228</v>
      </c>
      <c r="K80" t="s">
        <v>228</v>
      </c>
      <c r="L80" t="s">
        <v>227</v>
      </c>
    </row>
  </sheetData>
  <conditionalFormatting sqref="K2:K80">
    <cfRule type="cellIs" dxfId="5" priority="5" operator="equal">
      <formula>"Yes"</formula>
    </cfRule>
  </conditionalFormatting>
  <conditionalFormatting sqref="H2:H1000">
    <cfRule type="cellIs" dxfId="4" priority="4" operator="greaterThanOrEqual">
      <formula>120</formula>
    </cfRule>
  </conditionalFormatting>
  <conditionalFormatting sqref="H2:H80">
    <cfRule type="cellIs" dxfId="3" priority="3" operator="between">
      <formula>90</formula>
      <formula>119</formula>
    </cfRule>
  </conditionalFormatting>
  <conditionalFormatting sqref="L2:L80">
    <cfRule type="cellIs" dxfId="2" priority="2" operator="equal">
      <formula>"Critical"</formula>
    </cfRule>
    <cfRule type="cellIs" dxfId="1" priority="1" operator="equal">
      <formula>"High"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1467-8E83-4CB0-AFDB-5BA093376182}">
  <dimension ref="A1:O5"/>
  <sheetViews>
    <sheetView workbookViewId="0">
      <pane ySplit="1" topLeftCell="A2" activePane="bottomLeft" state="frozen"/>
      <selection pane="bottomLeft" activeCell="I13" sqref="I13:I14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7.42578125" bestFit="1" customWidth="1"/>
    <col min="7" max="7" width="14" bestFit="1" customWidth="1"/>
    <col min="8" max="8" width="10.7109375" bestFit="1" customWidth="1"/>
    <col min="9" max="9" width="24.85546875" bestFit="1" customWidth="1"/>
    <col min="10" max="10" width="15.42578125" bestFit="1" customWidth="1"/>
    <col min="11" max="11" width="18.42578125" bestFit="1" customWidth="1"/>
    <col min="13" max="13" width="27.140625" bestFit="1" customWidth="1"/>
    <col min="14" max="14" width="13.140625" bestFit="1" customWidth="1"/>
    <col min="15" max="15" width="8.7109375" bestFit="1" customWidth="1"/>
  </cols>
  <sheetData>
    <row r="1" spans="1:15">
      <c r="A1" t="s">
        <v>55</v>
      </c>
      <c r="B1" t="s">
        <v>56</v>
      </c>
      <c r="C1" t="s">
        <v>57</v>
      </c>
      <c r="D1" t="s">
        <v>59</v>
      </c>
      <c r="E1" t="s">
        <v>15</v>
      </c>
      <c r="F1" t="s">
        <v>60</v>
      </c>
      <c r="G1" t="s">
        <v>61</v>
      </c>
      <c r="H1" t="s">
        <v>63</v>
      </c>
      <c r="I1" t="s">
        <v>221</v>
      </c>
      <c r="J1" t="s">
        <v>220</v>
      </c>
      <c r="K1" t="s">
        <v>279</v>
      </c>
      <c r="M1" s="87" t="s">
        <v>281</v>
      </c>
      <c r="N1" s="88" t="s">
        <v>282</v>
      </c>
      <c r="O1" s="88" t="s">
        <v>19</v>
      </c>
    </row>
    <row r="2" spans="1:15">
      <c r="A2">
        <v>3116</v>
      </c>
      <c r="B2" s="86" t="s">
        <v>69</v>
      </c>
      <c r="C2" s="86" t="s">
        <v>105</v>
      </c>
      <c r="D2" s="7">
        <v>45309</v>
      </c>
      <c r="E2">
        <v>1002</v>
      </c>
      <c r="F2">
        <v>2005</v>
      </c>
      <c r="G2" s="86" t="s">
        <v>21</v>
      </c>
      <c r="H2" s="7"/>
      <c r="I2" s="7"/>
      <c r="K2" t="s">
        <v>280</v>
      </c>
      <c r="M2" s="86" t="s">
        <v>283</v>
      </c>
      <c r="N2">
        <v>2</v>
      </c>
      <c r="O2" s="86" t="s">
        <v>284</v>
      </c>
    </row>
    <row r="3" spans="1:15">
      <c r="A3">
        <v>3218</v>
      </c>
      <c r="B3" s="86" t="s">
        <v>92</v>
      </c>
      <c r="C3" s="86" t="s">
        <v>78</v>
      </c>
      <c r="D3" s="7">
        <v>46088</v>
      </c>
      <c r="E3">
        <v>1002</v>
      </c>
      <c r="F3">
        <v>2005</v>
      </c>
      <c r="G3" s="86" t="s">
        <v>21</v>
      </c>
      <c r="H3" s="7"/>
      <c r="I3" s="7"/>
      <c r="K3" t="s">
        <v>280</v>
      </c>
      <c r="M3" s="86" t="s">
        <v>285</v>
      </c>
      <c r="N3">
        <v>0</v>
      </c>
      <c r="O3" s="86" t="s">
        <v>286</v>
      </c>
    </row>
    <row r="4" spans="1:15">
      <c r="M4" s="86" t="s">
        <v>287</v>
      </c>
      <c r="N4">
        <v>0</v>
      </c>
      <c r="O4" s="86" t="s">
        <v>286</v>
      </c>
    </row>
    <row r="5" spans="1:15">
      <c r="M5" s="86" t="s">
        <v>288</v>
      </c>
      <c r="N5">
        <v>0</v>
      </c>
      <c r="O5" s="86" t="s">
        <v>286</v>
      </c>
    </row>
  </sheetData>
  <conditionalFormatting sqref="O1:O1048576">
    <cfRule type="cellIs" dxfId="11" priority="3" operator="equal">
      <formula>"Review"</formula>
    </cfRule>
    <cfRule type="cellIs" dxfId="10" priority="2" operator="equal">
      <formula>"Pass"</formula>
    </cfRule>
  </conditionalFormatting>
  <conditionalFormatting sqref="K1:K1048576">
    <cfRule type="cellIs" dxfId="0" priority="1" operator="equal">
      <formula>"No Contact History"</formula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2026-07-11T23:33:55Z</dcterms:modified>
</cp:coreProperties>
</file>